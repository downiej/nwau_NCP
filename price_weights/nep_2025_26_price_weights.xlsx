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mesDownie\Downloads\"/>
    </mc:Choice>
  </mc:AlternateContent>
  <xr:revisionPtr revIDLastSave="0" documentId="13_ncr:1_{71D04B7E-3542-4710-AA1F-A020B4786B27}" xr6:coauthVersionLast="47" xr6:coauthVersionMax="47" xr10:uidLastSave="{00000000-0000-0000-0000-000000000000}"/>
  <bookViews>
    <workbookView xWindow="-120" yWindow="-120" windowWidth="77040" windowHeight="21120" tabRatio="815" activeTab="1" xr2:uid="{00000000-000D-0000-FFFF-FFFF00000000}"/>
  </bookViews>
  <sheets>
    <sheet name="Admitted Acute" sheetId="1" r:id="rId1"/>
    <sheet name="Admitted Subacute" sheetId="2" r:id="rId2"/>
    <sheet name="Admitted Mental Health" sheetId="3" r:id="rId3"/>
    <sheet name="Community Mental Health" sheetId="9" r:id="rId4"/>
    <sheet name="Non-Admitted" sheetId="4" r:id="rId5"/>
    <sheet name="Emergency - AECC" sheetId="5" r:id="rId6"/>
    <sheet name="Emergency - UDG" sheetId="6" r:id="rId7"/>
    <sheet name="Hospital Acquired Complications" sheetId="7" r:id="rId8"/>
    <sheet name="Avoidable Hospital Readmission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2" l="1"/>
  <c r="P8" i="2"/>
  <c r="N78" i="2"/>
  <c r="O78" i="2"/>
  <c r="N79" i="2"/>
  <c r="O79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80" i="2"/>
  <c r="O80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O8" i="2"/>
  <c r="N8" i="2"/>
</calcChain>
</file>

<file path=xl/sharedStrings.xml><?xml version="1.0" encoding="utf-8"?>
<sst xmlns="http://schemas.openxmlformats.org/spreadsheetml/2006/main" count="6332" uniqueCount="2595">
  <si>
    <t>Appendix H – Price weights for admitted acute patients – AR-DRG V11.0</t>
  </si>
  <si>
    <t>AR-DRG V11.0</t>
  </si>
  <si>
    <t>Description</t>
  </si>
  <si>
    <t>Same-day payment list</t>
  </si>
  <si>
    <t>Bundled ICU</t>
  </si>
  <si>
    <t>ALOS (days, excluding designated SD and unbundled ICU)</t>
  </si>
  <si>
    <t>Inlier bounds</t>
  </si>
  <si>
    <t>Paediatric adjustment</t>
  </si>
  <si>
    <t>Price weights</t>
  </si>
  <si>
    <t>Lower bound</t>
  </si>
  <si>
    <t>Upper bound</t>
  </si>
  <si>
    <t>Same day</t>
  </si>
  <si>
    <t>Short-stay outlier base</t>
  </si>
  <si>
    <t>Short-stay outlier per diem</t>
  </si>
  <si>
    <t>Inlier</t>
  </si>
  <si>
    <t>Long-stay outlier per diem</t>
  </si>
  <si>
    <t>Care type</t>
  </si>
  <si>
    <t>Episode type</t>
  </si>
  <si>
    <t>Same-day class</t>
  </si>
  <si>
    <t>ALOS (days)</t>
  </si>
  <si>
    <t>Average phase length (days)</t>
  </si>
  <si>
    <t>Price weight</t>
  </si>
  <si>
    <t>Table 18. Emergency service price weights - Urgency Disposition Groups Version 1.3 (UDG V1.3)</t>
  </si>
  <si>
    <t>UDG V1.3</t>
  </si>
  <si>
    <t>Complication</t>
  </si>
  <si>
    <t>Complexity group</t>
  </si>
  <si>
    <t xml:space="preserve">Low </t>
  </si>
  <si>
    <t>Moderate</t>
  </si>
  <si>
    <t>High</t>
  </si>
  <si>
    <t>Readmission category</t>
  </si>
  <si>
    <t>Low</t>
  </si>
  <si>
    <t>Complexity Group</t>
  </si>
  <si>
    <t xml:space="preserve">and national efficient cost online glossary for further information. </t>
  </si>
  <si>
    <t>territories.</t>
  </si>
  <si>
    <t>prevented development of a robust risk adjustment approach at this time.</t>
  </si>
  <si>
    <t>Appendix I – Price weights for admitted subacute and non-acute patients – AN-SNAP V5.0</t>
  </si>
  <si>
    <t>Table 19. Funding adjustments for HACs (Version 3.1)</t>
  </si>
  <si>
    <t>Table 20. Risk adjustment factors for avoidable hospital readmissions (Version 2.0) within the same jurisdiction</t>
  </si>
  <si>
    <t>AN-SNAP V5.0</t>
  </si>
  <si>
    <t>Service contact with consumer present</t>
  </si>
  <si>
    <t>Service contact without consumer present</t>
  </si>
  <si>
    <t>Appendix J – Price weights for admitted mental health care patients – AMHCC V1.1</t>
  </si>
  <si>
    <t xml:space="preserve">Table 12. Admitted acute price weights – Australian Refined Diagnosis Related Groups Version 11.0 (AR-DRG V11.0) </t>
  </si>
  <si>
    <t>Table 13. Admitted subacute and non-acute price weights – Australian National Subacute and Non-Acute Patient Classification Version 5.0 (AN-SNAP V5.0)</t>
  </si>
  <si>
    <t>Table 14. Admitted mental health care price weights – Australian Mental Health Care Classification Version 1.1 (AMHCC V1.1)</t>
  </si>
  <si>
    <t>Appendix K – Price weights for community mental health care patients – AMHCC V1.1</t>
  </si>
  <si>
    <t>Table 15. Community mental health care price weights – Australian Mental Health Care Classification Version 1.1</t>
  </si>
  <si>
    <t>Appendix L – Price weights for non-admitted patients – Tier 2 V9.1</t>
  </si>
  <si>
    <t>Table 16. Non-admitted price weights – Tier 2 Non-Admitted Services Classification Version 9.1 (Tier 2 V9.1)</t>
  </si>
  <si>
    <t>Appendix M – Price weights for emergency department patients – AECC V1.1</t>
  </si>
  <si>
    <t>Table 17. Emergency department price weights – Australian Emergency Care Classification Version 1.1 (AECC V1.1)</t>
  </si>
  <si>
    <t>Appendix N – Price weights for emergency service patients – UDG V1.3</t>
  </si>
  <si>
    <t>Appendix O – Funding adjustments for hospital acquired complications</t>
  </si>
  <si>
    <t>(15.1) or 'Neonatal birth trauma' (16) will be applied in 2025–26 due to small patient cohorts or other issues which have</t>
  </si>
  <si>
    <r>
      <rPr>
        <vertAlign val="superscript"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 xml:space="preserve"> No funding adjustment for 'Unplanned intensive care unit admission' (5), 'Third degree perineal laceration during delivery'</t>
    </r>
  </si>
  <si>
    <t>Appendix P – Risk adjustment factors for avoidable hospital readmissions</t>
  </si>
  <si>
    <t>AMHCC V1.1</t>
  </si>
  <si>
    <t>Tier 2 V9.1</t>
  </si>
  <si>
    <t>AECC V1.1</t>
  </si>
  <si>
    <t>Price Weights</t>
  </si>
  <si>
    <t>101Z</t>
  </si>
  <si>
    <t>Admitted, Assessment Only, 0-17 years</t>
  </si>
  <si>
    <t>102Z</t>
  </si>
  <si>
    <t>Admitted, Assessment Only, 18-64 years</t>
  </si>
  <si>
    <t>103Z</t>
  </si>
  <si>
    <t>Admitted, Assessment Only, 65+ years</t>
  </si>
  <si>
    <t>111A</t>
  </si>
  <si>
    <t>Admitted, Acute, 0-17 years, High HoNOS Complexity</t>
  </si>
  <si>
    <t>111B</t>
  </si>
  <si>
    <t>Admitted, Acute, 0-17 years, Moderate HoNOS Complexity</t>
  </si>
  <si>
    <t>111Z</t>
  </si>
  <si>
    <t>Admitted, Acute, 0-17 years, Unknown HoNOS</t>
  </si>
  <si>
    <t>1121A</t>
  </si>
  <si>
    <t>Admitted, Acute, 18-64 years, Involuntary, High HoNOS Complexity</t>
  </si>
  <si>
    <t>1121B</t>
  </si>
  <si>
    <t>Admitted, Acute, 18-64 years, Involuntary, Moderate HoNOS Complexity</t>
  </si>
  <si>
    <t>1121Z</t>
  </si>
  <si>
    <t>Admitted, Acute, 18-64 years, Involuntary, Unknown HoNOS</t>
  </si>
  <si>
    <t>1122A</t>
  </si>
  <si>
    <t>Admitted, Acute, 18-64 years, Voluntary, High HoNOS Complexity</t>
  </si>
  <si>
    <t>1122B</t>
  </si>
  <si>
    <t>Admitted, Acute, 18-64 years, Voluntary, Moderate HoNOS Complexity</t>
  </si>
  <si>
    <t>1122Z</t>
  </si>
  <si>
    <t>Admitted, Acute, 18-64 years, Voluntary, Unknown HoNOS</t>
  </si>
  <si>
    <t>113A</t>
  </si>
  <si>
    <t>Admitted, Acute, 65+ years, High HoNOS Complexity</t>
  </si>
  <si>
    <t>113B</t>
  </si>
  <si>
    <t>Admitted, Acute, 65+ years, Moderate HoNOS Complexity</t>
  </si>
  <si>
    <t>113Z</t>
  </si>
  <si>
    <t>Admitted, Acute, 65+ years, Unknown HoNOS</t>
  </si>
  <si>
    <t>121A</t>
  </si>
  <si>
    <t>Admitted, Functional Gain, 0-17 years, High HoNOS Complexity</t>
  </si>
  <si>
    <t>121B</t>
  </si>
  <si>
    <t>Admitted, Functional Gain, 0-17 years, Moderate HoNOS Complexity</t>
  </si>
  <si>
    <t>121Z</t>
  </si>
  <si>
    <t>Admitted, Functional Gain, 0-17 years, Unknown HoNOS</t>
  </si>
  <si>
    <t>122A</t>
  </si>
  <si>
    <t>Admitted, Functional Gain, 18-64 years, High HoNOS Complexity</t>
  </si>
  <si>
    <t>122B</t>
  </si>
  <si>
    <t>Admitted, Functional Gain, 18-64 years, Moderate HoNOS Complexity</t>
  </si>
  <si>
    <t>122Z</t>
  </si>
  <si>
    <t>Admitted, Functional Gain, 18-64 years, Unknown HoNOS</t>
  </si>
  <si>
    <t>123A</t>
  </si>
  <si>
    <t>Admitted, Functional Gain, 65+ years, High HoNOS Complexity</t>
  </si>
  <si>
    <t>123B</t>
  </si>
  <si>
    <t>Admitted, Functional Gain, 65+ years, Moderate HoNOS Complexity</t>
  </si>
  <si>
    <t>123Z</t>
  </si>
  <si>
    <t>Admitted, Functional Gain, 65+ years, Unknown HoNOS</t>
  </si>
  <si>
    <t>131A</t>
  </si>
  <si>
    <t>Admitted, Intensive Extended, 0-17 years, High HoNOS Complexity</t>
  </si>
  <si>
    <t>131B</t>
  </si>
  <si>
    <t>Admitted, Intensive Extended, 0-17 years, Moderate HoNOS Complexity</t>
  </si>
  <si>
    <t>131Z</t>
  </si>
  <si>
    <t>Admitted, Intensive Extended, 0-17 years, Unknown HoNOS</t>
  </si>
  <si>
    <t>132A</t>
  </si>
  <si>
    <t>Admitted, Intensive Extended, 18-64 years, High HoNOS Complexity</t>
  </si>
  <si>
    <t>132B</t>
  </si>
  <si>
    <t>Admitted, Intensive Extended, 18-64 years, Moderate HoNOS Complexity</t>
  </si>
  <si>
    <t>132Z</t>
  </si>
  <si>
    <t>Admitted, Intensive Extended, 18-64 years, Unknown HoNOS</t>
  </si>
  <si>
    <t>133A</t>
  </si>
  <si>
    <t>Admitted, Intensive Extended, 65+ years, High HoNOS Complexity</t>
  </si>
  <si>
    <t>133B</t>
  </si>
  <si>
    <t>Admitted, Intensive Extended, 65+ years, Moderate HoNOS Complexity</t>
  </si>
  <si>
    <t>133Z</t>
  </si>
  <si>
    <t>Admitted, Intensive Extended, 65+ years, Unknown HoNOS</t>
  </si>
  <si>
    <t>141Z</t>
  </si>
  <si>
    <t>Admitted, Consolidating Gain, 0-17 years</t>
  </si>
  <si>
    <t>142A</t>
  </si>
  <si>
    <t>Admitted, Consolidating Gain, 18-64 years, High HoNOS Complexity</t>
  </si>
  <si>
    <t>142B</t>
  </si>
  <si>
    <t>Admitted, Consolidating Gain, 18-64 years, Moderate HoNOS Complexity</t>
  </si>
  <si>
    <t>142Z</t>
  </si>
  <si>
    <t>Admitted, Consolidating Gain, 18-64 years, Unknown HoNOS</t>
  </si>
  <si>
    <t>143A</t>
  </si>
  <si>
    <t>Admitted, Consolidating Gain, 65+ years, High HoNOS Complexity</t>
  </si>
  <si>
    <t>143B</t>
  </si>
  <si>
    <t>Admitted, Consolidating Gain, 65+ years, Moderate HoNOS Complexity</t>
  </si>
  <si>
    <t>143Z</t>
  </si>
  <si>
    <t>Admitted, Consolidating Gain, 65+ years, Unknown HoNOS</t>
  </si>
  <si>
    <t>191Z</t>
  </si>
  <si>
    <t>Admitted, Unknown Phase, 0-17 years</t>
  </si>
  <si>
    <t>192Z</t>
  </si>
  <si>
    <t>Admitted, Unknown Phase, 18-64 years</t>
  </si>
  <si>
    <t>193Z</t>
  </si>
  <si>
    <t>Admitted, Unknown Phase, 65+ years</t>
  </si>
  <si>
    <t>201Z</t>
  </si>
  <si>
    <t>Community, Assessment Only, 0-17 years</t>
  </si>
  <si>
    <t>202Z</t>
  </si>
  <si>
    <t>Community, Assessment Only, 18-64 years</t>
  </si>
  <si>
    <t>203Z</t>
  </si>
  <si>
    <t>Community, Assessment Only, 65+ years</t>
  </si>
  <si>
    <t>211A</t>
  </si>
  <si>
    <t>Community, Acute, 0-17 years, High HoNOS Complexity</t>
  </si>
  <si>
    <t>211B</t>
  </si>
  <si>
    <t>Community, Acute, 0-17 years, Moderate HoNOS Complexity</t>
  </si>
  <si>
    <t>211Z</t>
  </si>
  <si>
    <t>Community, Acute, 0-17 years, Unknown HoNOS</t>
  </si>
  <si>
    <t>212A</t>
  </si>
  <si>
    <t>Community, Acute, 18-64 years, High HoNOS Complexity</t>
  </si>
  <si>
    <t>212B1</t>
  </si>
  <si>
    <t>Community, Acute, 18-64 years, Moderate HoNOS Complexity with High LSP Complexity</t>
  </si>
  <si>
    <t>212B2</t>
  </si>
  <si>
    <t>Community, Acute, 18-64 years, Moderate HoNOS Complexity with Moderate LSP Complexity</t>
  </si>
  <si>
    <t>212Z</t>
  </si>
  <si>
    <t>Community, Acute, 18-64 years, Unknown HoNOS</t>
  </si>
  <si>
    <t>213A</t>
  </si>
  <si>
    <t>Community, Acute, 65+ years, High HoNOS Complexity</t>
  </si>
  <si>
    <t>213B</t>
  </si>
  <si>
    <t>Community, Acute, 65+ years, Moderate HoNOS Complexity</t>
  </si>
  <si>
    <t>213Z</t>
  </si>
  <si>
    <t>Community, Acute, 65+ years, Unknown HoNOS</t>
  </si>
  <si>
    <t>221A</t>
  </si>
  <si>
    <t>Community, Functional Gain, 0-17 years, High HoNOS Complexity</t>
  </si>
  <si>
    <t>221B</t>
  </si>
  <si>
    <t>Community, Functional Gain, 0-17 years, Moderate HoNOS Complexity</t>
  </si>
  <si>
    <t>221Z</t>
  </si>
  <si>
    <t>Community, Functional Gain, 0-17 years, Unknown HoNOS</t>
  </si>
  <si>
    <t>222A</t>
  </si>
  <si>
    <t>Community, Functional Gain, 18-64 years, High HoNOS Complexity</t>
  </si>
  <si>
    <t>222B1</t>
  </si>
  <si>
    <t>Community, Functional Gain, 18-64 years, Moderate HoNOS Complexity with High LSP Complexity</t>
  </si>
  <si>
    <t>222B2</t>
  </si>
  <si>
    <t>Community, Functional Gain, 18-64 years, Moderate HoNOS Complexity with Moderate LSP Complexity</t>
  </si>
  <si>
    <t>222Z</t>
  </si>
  <si>
    <t>Community, Functional Gain, 18-64 years, Unknown HoNOS</t>
  </si>
  <si>
    <t>223A</t>
  </si>
  <si>
    <t>Community, Functional Gain, 65+ years, High HoNOS Complexity</t>
  </si>
  <si>
    <t>223B</t>
  </si>
  <si>
    <t>Community, Functional Gain, 65+ years, Moderate HoNOS Complexity</t>
  </si>
  <si>
    <t>223Z</t>
  </si>
  <si>
    <t>Community, Functional Gain, 65+ years, Unknown HoNOS</t>
  </si>
  <si>
    <t>231A</t>
  </si>
  <si>
    <t>Community, Intensive Extended, 0-17 years, High HoNOS Complexity</t>
  </si>
  <si>
    <t>231B</t>
  </si>
  <si>
    <t>Community, Intensive Extended, 0-17 years, Moderate HoNOS Complexity</t>
  </si>
  <si>
    <t>231Z</t>
  </si>
  <si>
    <t>Community, Intensive Extended, 0-17 years, Unknown HoNOS</t>
  </si>
  <si>
    <t>232A</t>
  </si>
  <si>
    <t>Community, Intensive Extended, 18-64 years, High HoNOS Complexity</t>
  </si>
  <si>
    <t>232B1</t>
  </si>
  <si>
    <t>Community, Intensive Extended, 18-64 years, Moderate HoNOS Complexity with High LSP Complexity</t>
  </si>
  <si>
    <t>232B2</t>
  </si>
  <si>
    <t>Community, Intensive Extended, 18-64 years, Moderate HoNOS Complexity with Moderate LSP Complexity</t>
  </si>
  <si>
    <t>232Z</t>
  </si>
  <si>
    <t>Community, Intensive Extended, 18-64 years, Unknown HoNOS</t>
  </si>
  <si>
    <t>233A</t>
  </si>
  <si>
    <t>Community, Intensive Extended, 65+ years, High HoNOS Complexity</t>
  </si>
  <si>
    <t>233B</t>
  </si>
  <si>
    <t>Community, Intensive Extended, 65+ years, Moderate HoNOS Complexity</t>
  </si>
  <si>
    <t>233Z</t>
  </si>
  <si>
    <t>Community, Intensive Extended, 65+ years, Unknown HoNOS</t>
  </si>
  <si>
    <t>241A</t>
  </si>
  <si>
    <t>Community, Consolidating Gain, 0-17 years, High HoNOS Complexity</t>
  </si>
  <si>
    <t>241B</t>
  </si>
  <si>
    <t>Community, Consolidating Gain, 0-17 years, Moderate HoNOS Complexity</t>
  </si>
  <si>
    <t>241Z</t>
  </si>
  <si>
    <t>Community, Consolidating Gain, 0-17 years, Unknown HoNOS</t>
  </si>
  <si>
    <t>242A</t>
  </si>
  <si>
    <t>Community, Consolidating Gain, 18-64 years, High HoNOS Complexity</t>
  </si>
  <si>
    <t>242B1</t>
  </si>
  <si>
    <t>Community, Consolidating Gain, 18-64 years, Moderate HoNOS Complexity with High LSP Complexity</t>
  </si>
  <si>
    <t>242B2</t>
  </si>
  <si>
    <t>Community, Consolidating Gain, 18-64 years, Moderate HoNOS Complexity with Moderate LSP Complexity</t>
  </si>
  <si>
    <t>242Z</t>
  </si>
  <si>
    <t>Community, Consolidating Gain, 18-64 years, Unknown HoNOS</t>
  </si>
  <si>
    <t>243A</t>
  </si>
  <si>
    <t>Community, Consolidating Gain, 65+ years, High HoNOS Complexity</t>
  </si>
  <si>
    <t>243B</t>
  </si>
  <si>
    <t>Community, Consolidating Gain, 65+ years, Moderate HoNOS Complexity</t>
  </si>
  <si>
    <t>243Z</t>
  </si>
  <si>
    <t>Community, Consolidating Gain, 65+ years, Unknown HoNOS</t>
  </si>
  <si>
    <t>291Z</t>
  </si>
  <si>
    <t>Community, Unknown Phase, 0-17 years</t>
  </si>
  <si>
    <t>292Z</t>
  </si>
  <si>
    <t>Community, Unknown Phase, 18-64 years</t>
  </si>
  <si>
    <t>293Z</t>
  </si>
  <si>
    <t>Community, Unknown Phase, 65+ years</t>
  </si>
  <si>
    <t>801A</t>
  </si>
  <si>
    <t>GIs Unrelated to Principal Diagnosis, Major Complexity</t>
  </si>
  <si>
    <t xml:space="preserve"> </t>
  </si>
  <si>
    <t/>
  </si>
  <si>
    <t>801B</t>
  </si>
  <si>
    <t>GIs Unrelated to Principal Diagnosis, Intermediate Complexity</t>
  </si>
  <si>
    <t>801C</t>
  </si>
  <si>
    <t>GIs Unrelated to Principal Diagnosis, Minor Complexity</t>
  </si>
  <si>
    <t>A13A</t>
  </si>
  <si>
    <t>Ventilation &gt;= 336 Hours, Major Complexity</t>
  </si>
  <si>
    <t>A13B</t>
  </si>
  <si>
    <t>Ventilation &gt;= 336 Hours, Minor Complexity</t>
  </si>
  <si>
    <t>A14A</t>
  </si>
  <si>
    <t>Ventilation &gt;= 96 Hours and &lt; 336 Hours, Major Complexity</t>
  </si>
  <si>
    <t>A14B</t>
  </si>
  <si>
    <t>Ventilation &gt;= 96 Hours and &lt; 336 Hours, Intermediate Complexity</t>
  </si>
  <si>
    <t>A14C</t>
  </si>
  <si>
    <t>Ventilation &gt;= 96 Hours and &lt; 336 Hours, Minor Complexity</t>
  </si>
  <si>
    <t>A15A</t>
  </si>
  <si>
    <t>Tracheostomy, Major Complexity</t>
  </si>
  <si>
    <t>A15B</t>
  </si>
  <si>
    <t>Tracheostomy, Intermediate Complexity</t>
  </si>
  <si>
    <t>A15C</t>
  </si>
  <si>
    <t>Tracheostomy, Minor Complexity</t>
  </si>
  <si>
    <t>A40Z</t>
  </si>
  <si>
    <t>ECMO</t>
  </si>
  <si>
    <t>B01Z</t>
  </si>
  <si>
    <t>Ventricular Shunt Revision</t>
  </si>
  <si>
    <t>B02A</t>
  </si>
  <si>
    <t>Cranial Interventions, Major Complexity</t>
  </si>
  <si>
    <t>B02B</t>
  </si>
  <si>
    <t>Cranial Interventions, Intermediate Complexity</t>
  </si>
  <si>
    <t>B02C</t>
  </si>
  <si>
    <t>Cranial Interventions, Minor Complexity</t>
  </si>
  <si>
    <t>B03A</t>
  </si>
  <si>
    <t>Spinal Interventions, Major Complexity</t>
  </si>
  <si>
    <t>B03B</t>
  </si>
  <si>
    <t>Spinal Interventions, Intermediate Complexity</t>
  </si>
  <si>
    <t>B03C</t>
  </si>
  <si>
    <t>Spinal Interventions, Minor Complexity</t>
  </si>
  <si>
    <t>B04A</t>
  </si>
  <si>
    <t>Extracranial Vascular Interventions, Major Complexity</t>
  </si>
  <si>
    <t>B04B</t>
  </si>
  <si>
    <t>Extracranial Vascular Interventions, Intermediate Complexity</t>
  </si>
  <si>
    <t>B04C</t>
  </si>
  <si>
    <t>Extracranial Vascular Interventions, Minor Complexity</t>
  </si>
  <si>
    <t>B05Z</t>
  </si>
  <si>
    <t>Carpal Tunnel Release</t>
  </si>
  <si>
    <t>B06A</t>
  </si>
  <si>
    <t>Interventions for Cerebral Palsy, Muscular Dystrophy and Neuropathy, Major Complexity</t>
  </si>
  <si>
    <t>B06B</t>
  </si>
  <si>
    <t>Interventions for Cerebral Palsy, Muscular Dystrophy and Neuropathy, Intermediate Complexity</t>
  </si>
  <si>
    <t>YES</t>
  </si>
  <si>
    <t>B06C</t>
  </si>
  <si>
    <t>Interventions for Cerebral Palsy, Muscular Dystrophy and Neuropathy, Minor Complexity</t>
  </si>
  <si>
    <t>B07A</t>
  </si>
  <si>
    <t>Cranial or Peripheral Nerve and Other Nervous System Interventions, Major Complexity</t>
  </si>
  <si>
    <t>B07B</t>
  </si>
  <si>
    <t>Cranial or Peripheral Nerve and Other Nervous System Interventions, Minor Complexity</t>
  </si>
  <si>
    <t>B08A</t>
  </si>
  <si>
    <t>Endovascular Clot Retrieval, Major Complexity</t>
  </si>
  <si>
    <t>B08B</t>
  </si>
  <si>
    <t>Endovascular Clot Retrieval, Minor Complexity</t>
  </si>
  <si>
    <t>B40Z</t>
  </si>
  <si>
    <t>Plasmapheresis with Neurological Disease, Sameday</t>
  </si>
  <si>
    <t>B41A</t>
  </si>
  <si>
    <t>Telemetric EEG Monitoring, Major Complexity</t>
  </si>
  <si>
    <t>B41B</t>
  </si>
  <si>
    <t>Telemetric EEG Monitoring, Minor Complexity</t>
  </si>
  <si>
    <t>B42A</t>
  </si>
  <si>
    <t>Nervous System Disorders with Ventilator Support, Major Complexity</t>
  </si>
  <si>
    <t>B42B</t>
  </si>
  <si>
    <t>Nervous System Disorders with Ventilator Support, Intermediate Complexity</t>
  </si>
  <si>
    <t>B42C</t>
  </si>
  <si>
    <t>Nervous System Disorders with Ventilator Support, Minor Complexity</t>
  </si>
  <si>
    <t>B62Z</t>
  </si>
  <si>
    <t>Apheresis</t>
  </si>
  <si>
    <t>B63A</t>
  </si>
  <si>
    <t>Dementia and Other Chronic Disturbances of Cerebral Function, Major Complexity</t>
  </si>
  <si>
    <t>B63B</t>
  </si>
  <si>
    <t>Dementia and Other Chronic Disturbances of Cerebral Function, Minor Complexity</t>
  </si>
  <si>
    <t>B64A</t>
  </si>
  <si>
    <t>Delirium, Major Complexity</t>
  </si>
  <si>
    <t>B64B</t>
  </si>
  <si>
    <t>Delirium, Minor Complexity</t>
  </si>
  <si>
    <t>B65Z</t>
  </si>
  <si>
    <t>Cerebral Palsy</t>
  </si>
  <si>
    <t>B66A</t>
  </si>
  <si>
    <t>Nervous System Neoplastic Disorders, Major Complexity</t>
  </si>
  <si>
    <t>B66B</t>
  </si>
  <si>
    <t>Nervous System Neoplastic Disorders, Minor Complexity</t>
  </si>
  <si>
    <t>B67A</t>
  </si>
  <si>
    <t>Degenerative Nervous System Disorders, Major Complexity</t>
  </si>
  <si>
    <t>B67B</t>
  </si>
  <si>
    <t>Degenerative Nervous System Disorders, Intermediate Complexity</t>
  </si>
  <si>
    <t>B67C</t>
  </si>
  <si>
    <t>Degenerative Nervous System Disorders, Minor Complexity</t>
  </si>
  <si>
    <t>B68A</t>
  </si>
  <si>
    <t>Multiple Sclerosis and Cerebellar Ataxia, Major Complexity</t>
  </si>
  <si>
    <t>B68B</t>
  </si>
  <si>
    <t>Multiple Sclerosis and Cerebellar Ataxia, Minor Complexity</t>
  </si>
  <si>
    <t>B69A</t>
  </si>
  <si>
    <t>TIA and Precerebral Occlusion, Major Complexity</t>
  </si>
  <si>
    <t>B69B</t>
  </si>
  <si>
    <t>TIA and Precerebral Occlusion, Minor Complexity</t>
  </si>
  <si>
    <t>B70A</t>
  </si>
  <si>
    <t>Stroke and Other Cerebrovascular Disorders, Major Complexity</t>
  </si>
  <si>
    <t>B70B</t>
  </si>
  <si>
    <t>Stroke and Other Cerebrovascular Disorders, Intermediate Complexity</t>
  </si>
  <si>
    <t>B70C</t>
  </si>
  <si>
    <t>Stroke and Other Cerebrovascular Disorders, Minor Complexity</t>
  </si>
  <si>
    <t>B70D</t>
  </si>
  <si>
    <t>Stroke and Other Cerebrovascular Disorders, Transferred &lt; 5 Days</t>
  </si>
  <si>
    <t>B71A</t>
  </si>
  <si>
    <t>Cranial and Peripheral Nerve Disorders, Major Complexity</t>
  </si>
  <si>
    <t>B71B</t>
  </si>
  <si>
    <t>Cranial and Peripheral Nerve Disorders, Minor Complexity</t>
  </si>
  <si>
    <t>B72A</t>
  </si>
  <si>
    <t>Nervous System Infection Excluding Viral Meningitis, Major Complexity</t>
  </si>
  <si>
    <t>B72B</t>
  </si>
  <si>
    <t>Nervous System Infection Excluding Viral Meningitis, Minor Complexity</t>
  </si>
  <si>
    <t>B73A</t>
  </si>
  <si>
    <t>Viral Meningitis, Major Complexity</t>
  </si>
  <si>
    <t>B73B</t>
  </si>
  <si>
    <t>Viral Meningitis, Minor Complexity</t>
  </si>
  <si>
    <t>B74A</t>
  </si>
  <si>
    <t>Nontraumatic Stupor and Coma, Major Complexity</t>
  </si>
  <si>
    <t>B74B</t>
  </si>
  <si>
    <t>Nontraumatic Stupor and Coma, Minor Complexity</t>
  </si>
  <si>
    <t>B75Z</t>
  </si>
  <si>
    <t>Febrile Convulsions</t>
  </si>
  <si>
    <t>B76A</t>
  </si>
  <si>
    <t>Seizures, Major Complexity</t>
  </si>
  <si>
    <t>B76B</t>
  </si>
  <si>
    <t>Seizures, Minor Complexity</t>
  </si>
  <si>
    <t>B77A</t>
  </si>
  <si>
    <t>Headaches, Major Complexity</t>
  </si>
  <si>
    <t>B77B</t>
  </si>
  <si>
    <t>Headaches, Minor Complexity</t>
  </si>
  <si>
    <t>B78A</t>
  </si>
  <si>
    <t>Intracranial Injuries, Major Complexity</t>
  </si>
  <si>
    <t>B78B</t>
  </si>
  <si>
    <t>Intracranial Injuries, Minor Complexity</t>
  </si>
  <si>
    <t>B78C</t>
  </si>
  <si>
    <t>Intracranial Injuries, Transferred &lt; 5 Days</t>
  </si>
  <si>
    <t>B79A</t>
  </si>
  <si>
    <t>Skull Fractures, Major Complexity</t>
  </si>
  <si>
    <t>B79B</t>
  </si>
  <si>
    <t>Skull Fractures, Minor Complexity</t>
  </si>
  <si>
    <t>B80A</t>
  </si>
  <si>
    <t>Other Head Injuries, Major Complexity</t>
  </si>
  <si>
    <t>B80B</t>
  </si>
  <si>
    <t>Other Head Injuries, Minor Complexity</t>
  </si>
  <si>
    <t>B81A</t>
  </si>
  <si>
    <t>Other Disorders of the Nervous System, Major Complexity</t>
  </si>
  <si>
    <t>B81B</t>
  </si>
  <si>
    <t>Other Disorders of the Nervous System, Minor Complexity</t>
  </si>
  <si>
    <t>B82A</t>
  </si>
  <si>
    <t>Chronic and Unspecified Paraplegia/Quadriplegia, Major Complexity</t>
  </si>
  <si>
    <t>B82B</t>
  </si>
  <si>
    <t>Chronic and Unspecified Paraplegia/Quadriplegia, Intermediate Complexity</t>
  </si>
  <si>
    <t>B82C</t>
  </si>
  <si>
    <t>Chronic and Unspecified Paraplegia/Quadriplegia, Minor Complexity</t>
  </si>
  <si>
    <t>B83A</t>
  </si>
  <si>
    <t>Acute Paraplegia and Quadriplegia and Spinal Cord Conditions, Major Complexity</t>
  </si>
  <si>
    <t>B83B</t>
  </si>
  <si>
    <t>Acute Paraplegia and Quadriplegia and Spinal Cord Conditions, Intermediate Complexity</t>
  </si>
  <si>
    <t>B83C</t>
  </si>
  <si>
    <t>Acute Paraplegia and Quadriplegia and Spinal Cord Conditions, Minor Complexity</t>
  </si>
  <si>
    <t>C01Z</t>
  </si>
  <si>
    <t>Interventions for Penetrating Eye Injury</t>
  </si>
  <si>
    <t>C02A</t>
  </si>
  <si>
    <t>Enucleations and Orbital Interventions, Major Complexity</t>
  </si>
  <si>
    <t>C02B</t>
  </si>
  <si>
    <t>Enucleations and Orbital Interventions, Minor Complexity</t>
  </si>
  <si>
    <t>C03A</t>
  </si>
  <si>
    <t>Retinal Interventions, Major Complexity</t>
  </si>
  <si>
    <t>C03B</t>
  </si>
  <si>
    <t>Retinal Interventions, Minor Complexity</t>
  </si>
  <si>
    <t>C04A</t>
  </si>
  <si>
    <t>Major Corneal, Scleral and Conjunctival Interventions, Major Complexity</t>
  </si>
  <si>
    <t>C04B</t>
  </si>
  <si>
    <t>Major Corneal, Scleral and Conjunctival Interventions, Minor Complexity</t>
  </si>
  <si>
    <t>C05Z</t>
  </si>
  <si>
    <t>Dacryocystorhinostomy</t>
  </si>
  <si>
    <t>C10Z</t>
  </si>
  <si>
    <t>Strabismus Interventions</t>
  </si>
  <si>
    <t>C11Z</t>
  </si>
  <si>
    <t>Eyelid Interventions</t>
  </si>
  <si>
    <t>C12A</t>
  </si>
  <si>
    <t>Other Corneal, Scleral and Conjunctival Interventions, Major Complexity</t>
  </si>
  <si>
    <t>C12B</t>
  </si>
  <si>
    <t>Other Corneal, Scleral and Conjunctival Interventions, Minor Complexity</t>
  </si>
  <si>
    <t>C13Z</t>
  </si>
  <si>
    <t>Lacrimal Interventions</t>
  </si>
  <si>
    <t>C14A</t>
  </si>
  <si>
    <t>Other Eye Interventions, Major Complexity</t>
  </si>
  <si>
    <t>C14B</t>
  </si>
  <si>
    <t>Other Eye Interventions, Minor Complexity</t>
  </si>
  <si>
    <t>C15A</t>
  </si>
  <si>
    <t>Glaucoma and Complex Cataract Interventions, Major Complexity</t>
  </si>
  <si>
    <t>C15B</t>
  </si>
  <si>
    <t>Glaucoma and Complex Cataract Interventions, Minor Complexity</t>
  </si>
  <si>
    <t>C16Z</t>
  </si>
  <si>
    <t>Lens Interventions</t>
  </si>
  <si>
    <t>C60A</t>
  </si>
  <si>
    <t>Acute and Major Eye Infections, Major Complexity</t>
  </si>
  <si>
    <t>C60B</t>
  </si>
  <si>
    <t>Acute and Major Eye Infections, Minor Complexity</t>
  </si>
  <si>
    <t>C61A</t>
  </si>
  <si>
    <t>Neurological and Vascular Disorders of the Eye, Major Complexity</t>
  </si>
  <si>
    <t>C61B</t>
  </si>
  <si>
    <t>Neurological and Vascular Disorders of the Eye, Minor Complexity</t>
  </si>
  <si>
    <t>C62A</t>
  </si>
  <si>
    <t>Hyphaema and Medically Managed Trauma to the Eye, Major Complexity</t>
  </si>
  <si>
    <t>C62B</t>
  </si>
  <si>
    <t>Hyphaema and Medically Managed Trauma to the Eye, Minor Complexity</t>
  </si>
  <si>
    <t>C63A</t>
  </si>
  <si>
    <t>Other Disorders of the Eye, Major Complexity</t>
  </si>
  <si>
    <t>C63B</t>
  </si>
  <si>
    <t>Other Disorders of the Eye, Minor Complexity</t>
  </si>
  <si>
    <t>D01Z</t>
  </si>
  <si>
    <t>Cochlear Implant</t>
  </si>
  <si>
    <t>D02A</t>
  </si>
  <si>
    <t>Head and Neck Interventions, Major Complexity</t>
  </si>
  <si>
    <t>D02B</t>
  </si>
  <si>
    <t>Head and Neck Interventions, Intermediate Complexity</t>
  </si>
  <si>
    <t>D02C</t>
  </si>
  <si>
    <t>Head and Neck Interventions, Minor Complexity</t>
  </si>
  <si>
    <t>D03A</t>
  </si>
  <si>
    <t>Surgical Repair for Cleft Lip and Palate Disorders, Major Complexity</t>
  </si>
  <si>
    <t>D03B</t>
  </si>
  <si>
    <t>Surgical Repair for Cleft Lip and Palate Disorders, Minor Complexity</t>
  </si>
  <si>
    <t>D04A</t>
  </si>
  <si>
    <t>Maxillo Surgery, Major Complexity</t>
  </si>
  <si>
    <t>D04B</t>
  </si>
  <si>
    <t>Maxillo Surgery, Minor Complexity</t>
  </si>
  <si>
    <t>D05Z</t>
  </si>
  <si>
    <t>Parotid Gland Interventions</t>
  </si>
  <si>
    <t>D06Z</t>
  </si>
  <si>
    <t>Sinus and Complex Middle Ear Interventions</t>
  </si>
  <si>
    <t>D10Z</t>
  </si>
  <si>
    <t>Nasal Interventions</t>
  </si>
  <si>
    <t>D11Z</t>
  </si>
  <si>
    <t>Tonsillectomy and Adenoidectomy</t>
  </si>
  <si>
    <t>D12A</t>
  </si>
  <si>
    <t>Other Ear, Nose, Mouth and Throat Interventions, Major Complexity</t>
  </si>
  <si>
    <t>D12B</t>
  </si>
  <si>
    <t>Other Ear, Nose, Mouth and Throat Interventions, Minor Complexity</t>
  </si>
  <si>
    <t>D13Z</t>
  </si>
  <si>
    <t>Myringotomy with Tube Insertion</t>
  </si>
  <si>
    <t>D14A</t>
  </si>
  <si>
    <t>Mouth and Salivary Gland Interventions, Major Complexity</t>
  </si>
  <si>
    <t>D14B</t>
  </si>
  <si>
    <t>Mouth and Salivary Gland Interventions, Minor Complexity</t>
  </si>
  <si>
    <t>D15Z</t>
  </si>
  <si>
    <t>Mastoid Interventions</t>
  </si>
  <si>
    <t>D40Z</t>
  </si>
  <si>
    <t>Dental Extractions and Restorations</t>
  </si>
  <si>
    <t>D60A</t>
  </si>
  <si>
    <t>Ear, Nose, Mouth and Throat Malignancy, Major Complexity</t>
  </si>
  <si>
    <t>D60B</t>
  </si>
  <si>
    <t>Ear, Nose, Mouth and Throat Malignancy, Minor Complexity</t>
  </si>
  <si>
    <t>D61A</t>
  </si>
  <si>
    <t>Dysequilibrium, Major Complexity</t>
  </si>
  <si>
    <t>D61B</t>
  </si>
  <si>
    <t>Dysequilibrium, Minor Complexity</t>
  </si>
  <si>
    <t>D62A</t>
  </si>
  <si>
    <t>Epistaxis, Major Complexity</t>
  </si>
  <si>
    <t>D62B</t>
  </si>
  <si>
    <t>Epistaxis, Minor Complexity</t>
  </si>
  <si>
    <t>D63A</t>
  </si>
  <si>
    <t>Otitis Media and Upper Respiratory Infections, Major Complexity</t>
  </si>
  <si>
    <t>D63B</t>
  </si>
  <si>
    <t>Otitis Media and Upper Respiratory Infections, Minor Complexity</t>
  </si>
  <si>
    <t>D64A</t>
  </si>
  <si>
    <t>Laryngotracheitis and Epiglottitis, Major Complexity</t>
  </si>
  <si>
    <t>D64B</t>
  </si>
  <si>
    <t>Laryngotracheitis and Epiglottitis, Minor Complexity</t>
  </si>
  <si>
    <t>D65A</t>
  </si>
  <si>
    <t>Nasal Trauma and Deformity, Major Complexity</t>
  </si>
  <si>
    <t>D65B</t>
  </si>
  <si>
    <t>Nasal Trauma and Deformity, Minor Complexity</t>
  </si>
  <si>
    <t>D66A</t>
  </si>
  <si>
    <t>Other Ear, Nose, Mouth and Throat Disorders, Major Complexity</t>
  </si>
  <si>
    <t>D66B</t>
  </si>
  <si>
    <t>Other Ear, Nose, Mouth and Throat Disorders, Minor Complexity</t>
  </si>
  <si>
    <t>D67A</t>
  </si>
  <si>
    <t>Oral and Dental Disorders, Major Complexity</t>
  </si>
  <si>
    <t>D67B</t>
  </si>
  <si>
    <t>Oral and Dental Disorders, Minor Complexity</t>
  </si>
  <si>
    <t>E01A</t>
  </si>
  <si>
    <t>Major Chest Interventions, Major Complexity</t>
  </si>
  <si>
    <t>E01B</t>
  </si>
  <si>
    <t>Major Chest Interventions, Intermediate Complexity</t>
  </si>
  <si>
    <t>E01C</t>
  </si>
  <si>
    <t>Major Chest Interventions, Minor Complexity</t>
  </si>
  <si>
    <t>E02A</t>
  </si>
  <si>
    <t>Other Respiratory System GIs, Major Complexity</t>
  </si>
  <si>
    <t>E02B</t>
  </si>
  <si>
    <t>Other Respiratory System GIs, Intermediate Complexity</t>
  </si>
  <si>
    <t>E02C</t>
  </si>
  <si>
    <t>Other Respiratory System GIs, Minor Complexity</t>
  </si>
  <si>
    <t>E03Z</t>
  </si>
  <si>
    <t>Lung or Heart-Lung Transplantation</t>
  </si>
  <si>
    <t>E40A</t>
  </si>
  <si>
    <t>Respiratory System Disorders with Ventilator Support, Major Complexity</t>
  </si>
  <si>
    <t>E40B</t>
  </si>
  <si>
    <t>Respiratory System Disorders with Ventilator Support, Minor Complexity</t>
  </si>
  <si>
    <t>E41A</t>
  </si>
  <si>
    <t>Respiratory System Disorders with Non-Invasive Ventilation, Major Complexity</t>
  </si>
  <si>
    <t>E41B</t>
  </si>
  <si>
    <t>Respiratory System Disorders with Non-Invasive Ventilation, Minor Complexity</t>
  </si>
  <si>
    <t>E42A</t>
  </si>
  <si>
    <t>Bronchoscopy, Major Complexity</t>
  </si>
  <si>
    <t>E42B</t>
  </si>
  <si>
    <t>Bronchoscopy, Intermediate Complexity</t>
  </si>
  <si>
    <t>E42C</t>
  </si>
  <si>
    <t>Bronchoscopy, Minor Complexity</t>
  </si>
  <si>
    <t>E60A</t>
  </si>
  <si>
    <t>Cystic Fibrosis, Major Complexity</t>
  </si>
  <si>
    <t>E60B</t>
  </si>
  <si>
    <t>Cystic Fibrosis, Minor Complexity</t>
  </si>
  <si>
    <t>E61A</t>
  </si>
  <si>
    <t>Pulmonary Embolism, Major Complexity</t>
  </si>
  <si>
    <t>E61B</t>
  </si>
  <si>
    <t>Pulmonary Embolism, Minor Complexity</t>
  </si>
  <si>
    <t>E62A</t>
  </si>
  <si>
    <t>Respiratory Infections and Inflammations, Major Complexity</t>
  </si>
  <si>
    <t>E62B</t>
  </si>
  <si>
    <t>Respiratory Infections and Inflammations, Minor Complexity</t>
  </si>
  <si>
    <t>E63A</t>
  </si>
  <si>
    <t>Sleep Apnoea, Major Complexity</t>
  </si>
  <si>
    <t>E63B</t>
  </si>
  <si>
    <t>Sleep Apnoea, Minor Complexity</t>
  </si>
  <si>
    <t>E64A</t>
  </si>
  <si>
    <t>Pulmonary Oedema and Respiratory Failure, Major Complexity</t>
  </si>
  <si>
    <t>E64B</t>
  </si>
  <si>
    <t>Pulmonary Oedema and Respiratory Failure, Minor Complexity</t>
  </si>
  <si>
    <t>E65A</t>
  </si>
  <si>
    <t>Chronic Obstructive Pulmonary Disease, Major Complexity</t>
  </si>
  <si>
    <t>E65B</t>
  </si>
  <si>
    <t>Chronic Obstructive Pulmonary Disease, Minor Complexity</t>
  </si>
  <si>
    <t>E66A</t>
  </si>
  <si>
    <t>Major Chest Trauma, Major Complexity</t>
  </si>
  <si>
    <t>E66B</t>
  </si>
  <si>
    <t>Major Chest Trauma, Minor Complexity</t>
  </si>
  <si>
    <t>E67A</t>
  </si>
  <si>
    <t>Respiratory Signs and Symptoms, Major Complexity</t>
  </si>
  <si>
    <t>E67B</t>
  </si>
  <si>
    <t>Respiratory Signs and Symptoms, Minor Complexity</t>
  </si>
  <si>
    <t>E68A</t>
  </si>
  <si>
    <t>Pneumothorax, Major Complexity</t>
  </si>
  <si>
    <t>E68B</t>
  </si>
  <si>
    <t>Pneumothorax, Minor Complexity</t>
  </si>
  <si>
    <t>E69A</t>
  </si>
  <si>
    <t>Bronchitis and Asthma, Major Complexity</t>
  </si>
  <si>
    <t>E69B</t>
  </si>
  <si>
    <t>Bronchitis and Asthma, Minor Complexity</t>
  </si>
  <si>
    <t>E70A</t>
  </si>
  <si>
    <t>Whooping Cough and Acute Bronchiolitis, Major Complexity</t>
  </si>
  <si>
    <t>E70B</t>
  </si>
  <si>
    <t>Whooping Cough and Acute Bronchiolitis, Minor Complexity</t>
  </si>
  <si>
    <t>E71A</t>
  </si>
  <si>
    <t>Respiratory Neoplastic Disorders, Major Complexity</t>
  </si>
  <si>
    <t>E71B</t>
  </si>
  <si>
    <t>Respiratory Neoplastic Disorders, Minor Complexity</t>
  </si>
  <si>
    <t>E72Z</t>
  </si>
  <si>
    <t>Respiratory Problems Arising from Neonatal Period</t>
  </si>
  <si>
    <t>E73A</t>
  </si>
  <si>
    <t>Pleural Effusion, Major Complexity</t>
  </si>
  <si>
    <t>E73B</t>
  </si>
  <si>
    <t>Pleural Effusion, Intermediate Complexity</t>
  </si>
  <si>
    <t>E73C</t>
  </si>
  <si>
    <t>Pleural Effusion, Minor Complexity</t>
  </si>
  <si>
    <t>E74A</t>
  </si>
  <si>
    <t>Interstitial Lung Disease, Major Complexity</t>
  </si>
  <si>
    <t>E74B</t>
  </si>
  <si>
    <t>Interstitial Lung Disease, Minor Complexity</t>
  </si>
  <si>
    <t>E75A</t>
  </si>
  <si>
    <t>Other Respiratory System Disorders, Major Complexity</t>
  </si>
  <si>
    <t>E75B</t>
  </si>
  <si>
    <t>Other Respiratory System Disorders, Minor Complexity</t>
  </si>
  <si>
    <t>E76A</t>
  </si>
  <si>
    <t>Respiratory Tuberculosis, Major Complexity</t>
  </si>
  <si>
    <t>E76B</t>
  </si>
  <si>
    <t>Respiratory Tuberculosis, Minor Complexity</t>
  </si>
  <si>
    <t>E77A</t>
  </si>
  <si>
    <t>Bronchiectasis, Major Complexity</t>
  </si>
  <si>
    <t>E77B</t>
  </si>
  <si>
    <t>Bronchiectasis, Minor Complexity</t>
  </si>
  <si>
    <t>F01A</t>
  </si>
  <si>
    <t>Implantation and Replacement of AICD, Total System, Major Complexity</t>
  </si>
  <si>
    <t>F01B</t>
  </si>
  <si>
    <t>Implantation and Replacement of AICD, Total System, Minor Complexity</t>
  </si>
  <si>
    <t>F02Z</t>
  </si>
  <si>
    <t>Other AICD Interventions</t>
  </si>
  <si>
    <t>F03A</t>
  </si>
  <si>
    <t>Cardiac Valve Interventions with CPB Pump with Invasive Cardiac Investigation, Major Complexity</t>
  </si>
  <si>
    <t>F03B</t>
  </si>
  <si>
    <t>Cardiac Valve Interventions with CPB Pump with Invasive Cardiac Investigation, Minor Complexity</t>
  </si>
  <si>
    <t>F04A</t>
  </si>
  <si>
    <t>Cardiac Valve Interventions with CPB Pump without Invasive Cardiac Investigation, Major Complexity</t>
  </si>
  <si>
    <t>F04B</t>
  </si>
  <si>
    <t>Cardiac Valve Interventions with CPB Pump without Invasive Cardiac Investigation, Intermediate Complexity</t>
  </si>
  <si>
    <t>F04C</t>
  </si>
  <si>
    <t>Cardiac Valve Interventions with CPB Pump without Invasive Cardiac Investigation, Minor Complexity</t>
  </si>
  <si>
    <t>F05A</t>
  </si>
  <si>
    <t>Coronary Bypass with Invasive Cardiac Investigation, Major Complexity</t>
  </si>
  <si>
    <t>F05B</t>
  </si>
  <si>
    <t>Coronary Bypass with Invasive Cardiac Investigation, Minor Complexity</t>
  </si>
  <si>
    <t>F06A</t>
  </si>
  <si>
    <t>Coronary Bypass without Invasive Cardiac Investigation, Major Complexity</t>
  </si>
  <si>
    <t>F06B</t>
  </si>
  <si>
    <t>Coronary Bypass without Invasive Cardiac Investigation, Intermediate Complexity</t>
  </si>
  <si>
    <t>F06C</t>
  </si>
  <si>
    <t>Coronary Bypass without Invasive Cardiac Investigation, Minor Complexity</t>
  </si>
  <si>
    <t>F07A</t>
  </si>
  <si>
    <t>Other Cardiothoracic/Vascular Interventions with CPB Pump, Major Complexity</t>
  </si>
  <si>
    <t>F07B</t>
  </si>
  <si>
    <t>Other Cardiothoracic/Vascular Interventions with CPB Pump, Intermediate Complexity</t>
  </si>
  <si>
    <t>F07C</t>
  </si>
  <si>
    <t>Other Cardiothoracic/Vascular Interventions with CPB Pump, Minor Complexity</t>
  </si>
  <si>
    <t>F08A</t>
  </si>
  <si>
    <t>Major Reconstructive Vascular Interventions without CPB Pump, Major Complexity</t>
  </si>
  <si>
    <t>F08B</t>
  </si>
  <si>
    <t>Major Reconstructive Vascular Interventions without CPB Pump, Intermediate Complexity</t>
  </si>
  <si>
    <t>F08C</t>
  </si>
  <si>
    <t>Major Reconstructive Vascular Interventions without CPB Pump, Minor Complexity</t>
  </si>
  <si>
    <t>F09A</t>
  </si>
  <si>
    <t>Other Cardiothoracic Interventions without CPB Pump, Major Complexity</t>
  </si>
  <si>
    <t>F09B</t>
  </si>
  <si>
    <t>Other Cardiothoracic Interventions without CPB Pump, Minor Complexity</t>
  </si>
  <si>
    <t>F10A</t>
  </si>
  <si>
    <t>Interventional Coronary Procedures, Admitted for AMI, Major Complexity</t>
  </si>
  <si>
    <t>F10B</t>
  </si>
  <si>
    <t>Interventional Coronary Procedures, Admitted for AMI, Minor Complexity</t>
  </si>
  <si>
    <t>F11A</t>
  </si>
  <si>
    <t>Amputation, Excluding Upper Limb and Toe, for Circulatory Disorders, Major Complexity</t>
  </si>
  <si>
    <t>F11B</t>
  </si>
  <si>
    <t>Amputation, Excluding Upper Limb and Toe, for Circulatory Disorders, Minor Complexity</t>
  </si>
  <si>
    <t>F12A</t>
  </si>
  <si>
    <t>Implantation and Replacement of Pacemaker, Total System, Major Complexity</t>
  </si>
  <si>
    <t>F12B</t>
  </si>
  <si>
    <t>Implantation and Replacement of Pacemaker, Total System, Minor Complexity</t>
  </si>
  <si>
    <t>F13A</t>
  </si>
  <si>
    <t>Amputation, Upper Limb and Toe, for Circulatory Disorders, Major Complexity</t>
  </si>
  <si>
    <t>F13B</t>
  </si>
  <si>
    <t>Amputation, Upper Limb and Toe, for Circulatory Disorders, Minor Complexity</t>
  </si>
  <si>
    <t>F14A</t>
  </si>
  <si>
    <t>Vascular Interventions, Excluding Major Reconstruction, without CPB Pump, Major Complexity</t>
  </si>
  <si>
    <t>F14B</t>
  </si>
  <si>
    <t>Vascular Interventions, Excluding Major Reconstruction, without CPB Pump, Intermediate Complexity</t>
  </si>
  <si>
    <t>F14C</t>
  </si>
  <si>
    <t>Vascular Interventions, Excluding Major Reconstruction, without CPB Pump, Minor Complexity</t>
  </si>
  <si>
    <t>F17A</t>
  </si>
  <si>
    <t>Insertion and Replacement of Pacemaker Generator, Major Complexity</t>
  </si>
  <si>
    <t>F17B</t>
  </si>
  <si>
    <t>Insertion and Replacement of Pacemaker Generator, Minor Complexity</t>
  </si>
  <si>
    <t>F18Z</t>
  </si>
  <si>
    <t>Other Pacemaker Interventions</t>
  </si>
  <si>
    <t>F19A</t>
  </si>
  <si>
    <t>Trans-Vascular Percutaneous Cardiac Intervention, Major Complexity</t>
  </si>
  <si>
    <t>F19B</t>
  </si>
  <si>
    <t>Trans-Vascular Percutaneous Cardiac Intervention, Minor Complexity</t>
  </si>
  <si>
    <t>F20Z</t>
  </si>
  <si>
    <t>Vein Ligation and Stripping</t>
  </si>
  <si>
    <t>F21A</t>
  </si>
  <si>
    <t>Other Circulatory System GIs, Major Complexity</t>
  </si>
  <si>
    <t>F21B</t>
  </si>
  <si>
    <t>Other Circulatory System GIs, Intermediate Complexity</t>
  </si>
  <si>
    <t>F21C</t>
  </si>
  <si>
    <t>Other Circulatory System GIs, Minor Complexity</t>
  </si>
  <si>
    <t>F22Z</t>
  </si>
  <si>
    <t>Insertion of Artificial Heart Device</t>
  </si>
  <si>
    <t>F23Z</t>
  </si>
  <si>
    <t>Heart Transplantation</t>
  </si>
  <si>
    <t>F24A</t>
  </si>
  <si>
    <t>Interventional Coronary Procedures, Not Admitted for AMI, Major Complexity</t>
  </si>
  <si>
    <t>F24B</t>
  </si>
  <si>
    <t>Interventional Coronary Procedures, Not Admitted for AMI, Minor Complexity</t>
  </si>
  <si>
    <t>F25A</t>
  </si>
  <si>
    <t>Percutaneous Heart Valve Replacement with Bioprosthesis, Major Complexity</t>
  </si>
  <si>
    <t>F25B</t>
  </si>
  <si>
    <t>Percutaneous Heart Valve Replacement with Bioprosthesis, Minor Complexity</t>
  </si>
  <si>
    <t>F40A</t>
  </si>
  <si>
    <t>Circulatory Disorders with Ventilator Support, Major Complexity</t>
  </si>
  <si>
    <t>F40B</t>
  </si>
  <si>
    <t>Circulatory Disorders with Ventilator Support, Minor Complexity</t>
  </si>
  <si>
    <t>F41A</t>
  </si>
  <si>
    <t>Circulatory Disorders, Admitted for AMI with Invasive Cardiac Investigative Interventions, Major Complexity</t>
  </si>
  <si>
    <t>F41B</t>
  </si>
  <si>
    <t>Circulatory Disorders, Admitted for AMI with Invasive Cardiac Investigative Interventions, Minor Complexity</t>
  </si>
  <si>
    <t>F42A</t>
  </si>
  <si>
    <t>Circulatory Disorders, Not Admitted for AMI with Invasive Cardiac Investigative Interventions, Major Complexity</t>
  </si>
  <si>
    <t>F42B</t>
  </si>
  <si>
    <t>Circulatory Disorders, Not Admitted for AMI with Invasive Cardiac Investigative Interventions, Minor Complexity</t>
  </si>
  <si>
    <t>F43A</t>
  </si>
  <si>
    <t>Circulatory Disorders with Non-Invasive Ventilation, Major Complexity</t>
  </si>
  <si>
    <t>F43B</t>
  </si>
  <si>
    <t>Circulatory Disorders with Non-Invasive Ventilation, Minor Complexity</t>
  </si>
  <si>
    <t>F60A</t>
  </si>
  <si>
    <t>Circulatory Disorders, Admitted for AMI without Invasive Cardiac Investigative Interventions</t>
  </si>
  <si>
    <t>F60B</t>
  </si>
  <si>
    <t>Circulatory Disorders, Admitted for AMI without Invasive Cardiac Investigative Interventions, Transferred &lt; 5 Days</t>
  </si>
  <si>
    <t>F61A</t>
  </si>
  <si>
    <t>Infective Endocarditis, Major Complexity</t>
  </si>
  <si>
    <t>F61B</t>
  </si>
  <si>
    <t>Infective Endocarditis, Minor Complexity</t>
  </si>
  <si>
    <t>F62A</t>
  </si>
  <si>
    <t>Heart Failure and Shock, Major Complexity</t>
  </si>
  <si>
    <t>F62B</t>
  </si>
  <si>
    <t>Heart Failure and Shock, Minor Complexity</t>
  </si>
  <si>
    <t>F62C</t>
  </si>
  <si>
    <t>Heart Failure and Shock, Transferred &lt; 5 Days</t>
  </si>
  <si>
    <t>F63A</t>
  </si>
  <si>
    <t>Venous Thrombosis, Major Complexity</t>
  </si>
  <si>
    <t>F63B</t>
  </si>
  <si>
    <t>Venous Thrombosis, Minor Complexity</t>
  </si>
  <si>
    <t>F64A</t>
  </si>
  <si>
    <t>Skin Ulcers in Circulatory Disorders, Major Complexity</t>
  </si>
  <si>
    <t>F64B</t>
  </si>
  <si>
    <t>Skin Ulcers in Circulatory Disorders, Intermediate Complexity</t>
  </si>
  <si>
    <t>F64C</t>
  </si>
  <si>
    <t>Skin Ulcers in Circulatory Disorders, Minor Complexity</t>
  </si>
  <si>
    <t>F65A</t>
  </si>
  <si>
    <t>Peripheral Vascular Disorders, Major Complexity</t>
  </si>
  <si>
    <t>F65B</t>
  </si>
  <si>
    <t>Peripheral Vascular Disorders, Minor Complexity</t>
  </si>
  <si>
    <t>F66A</t>
  </si>
  <si>
    <t>Coronary Atherosclerosis, Major Complexity</t>
  </si>
  <si>
    <t>F66B</t>
  </si>
  <si>
    <t>Coronary Atherosclerosis, Minor Complexity</t>
  </si>
  <si>
    <t>F67A</t>
  </si>
  <si>
    <t>Hypertension, Major Complexity</t>
  </si>
  <si>
    <t>F67B</t>
  </si>
  <si>
    <t>Hypertension, Minor Complexity</t>
  </si>
  <si>
    <t>F68Z</t>
  </si>
  <si>
    <t>Congenital Heart Disease</t>
  </si>
  <si>
    <t>F69A</t>
  </si>
  <si>
    <t>Valvular Disorders, Major Complexity</t>
  </si>
  <si>
    <t>F69B</t>
  </si>
  <si>
    <t>Valvular Disorders, Minor Complexity</t>
  </si>
  <si>
    <t>F72A</t>
  </si>
  <si>
    <t>Unstable Angina, Major Complexity</t>
  </si>
  <si>
    <t>F72B</t>
  </si>
  <si>
    <t>Unstable Angina, Minor Complexity</t>
  </si>
  <si>
    <t>F73A</t>
  </si>
  <si>
    <t>Syncope and Collapse, Major Complexity</t>
  </si>
  <si>
    <t>F73B</t>
  </si>
  <si>
    <t>Syncope and Collapse, Minor Complexity</t>
  </si>
  <si>
    <t>F74A</t>
  </si>
  <si>
    <t>Chest Pain, Major Complexity</t>
  </si>
  <si>
    <t>F74B</t>
  </si>
  <si>
    <t>Chest Pain, Minor Complexity</t>
  </si>
  <si>
    <t>F75A</t>
  </si>
  <si>
    <t>Other Circulatory Disorders, Major Complexity</t>
  </si>
  <si>
    <t>F75B</t>
  </si>
  <si>
    <t>Other Circulatory Disorders, Minor Complexity</t>
  </si>
  <si>
    <t>F76A</t>
  </si>
  <si>
    <t>Arrhythmia, Cardiac Arrest and Conduction Disorders, Major Complexity</t>
  </si>
  <si>
    <t>F76B</t>
  </si>
  <si>
    <t>Arrhythmia, Cardiac Arrest and Conduction Disorders, Minor Complexity</t>
  </si>
  <si>
    <t>G01A</t>
  </si>
  <si>
    <t>Rectal Resection, Major Complexity</t>
  </si>
  <si>
    <t>G01B</t>
  </si>
  <si>
    <t>Rectal Resection, Intermediate Complexity</t>
  </si>
  <si>
    <t>G01C</t>
  </si>
  <si>
    <t>Rectal Resection, Minor Complexity</t>
  </si>
  <si>
    <t>G02A</t>
  </si>
  <si>
    <t>Major Small and Large Bowel Interventions, Major Complexity</t>
  </si>
  <si>
    <t>G02B</t>
  </si>
  <si>
    <t>Major Small and Large Bowel Interventions, Intermediate Complexity</t>
  </si>
  <si>
    <t>G02C</t>
  </si>
  <si>
    <t>Major Small and Large Bowel Interventions, Minor Complexity</t>
  </si>
  <si>
    <t>G03A</t>
  </si>
  <si>
    <t>Stomach, Oesophageal and Duodenal Interventions, Major Complexity</t>
  </si>
  <si>
    <t>G03B</t>
  </si>
  <si>
    <t>Stomach, Oesophageal and Duodenal Interventions, Intermediate Complexity</t>
  </si>
  <si>
    <t>G03C</t>
  </si>
  <si>
    <t>Stomach, Oesophageal and Duodenal Interventions, Minor Complexity</t>
  </si>
  <si>
    <t>G04A</t>
  </si>
  <si>
    <t>Peritoneal Adhesiolysis, Major Complexity</t>
  </si>
  <si>
    <t>G04B</t>
  </si>
  <si>
    <t>Peritoneal Adhesiolysis, Intermediate Complexity</t>
  </si>
  <si>
    <t>G04C</t>
  </si>
  <si>
    <t>Peritoneal Adhesiolysis, Minor Complexity</t>
  </si>
  <si>
    <t>G05A</t>
  </si>
  <si>
    <t>Minor Small and Large Bowel Interventions, Major Complexity</t>
  </si>
  <si>
    <t>G05B</t>
  </si>
  <si>
    <t>Minor Small and Large Bowel Interventions, Minor Complexity</t>
  </si>
  <si>
    <t>G06Z</t>
  </si>
  <si>
    <t>Pyloromyotomy</t>
  </si>
  <si>
    <t>G07A</t>
  </si>
  <si>
    <t>Appendicectomy, Major Complexity</t>
  </si>
  <si>
    <t>G07B</t>
  </si>
  <si>
    <t>Appendicectomy, Minor Complexity</t>
  </si>
  <si>
    <t>G10A</t>
  </si>
  <si>
    <t>Hernia Interventions, Major Complexity</t>
  </si>
  <si>
    <t>G10B</t>
  </si>
  <si>
    <t>Hernia Interventions, Minor Complexity</t>
  </si>
  <si>
    <t>G11A</t>
  </si>
  <si>
    <t>Anal and Stomal Interventions, Major Complexity</t>
  </si>
  <si>
    <t>G11B</t>
  </si>
  <si>
    <t>Anal and Stomal Interventions, Minor Complexity</t>
  </si>
  <si>
    <t>G12A</t>
  </si>
  <si>
    <t>Other Digestive System GIs, Major Complexity</t>
  </si>
  <si>
    <t>G12B</t>
  </si>
  <si>
    <t>Other Digestive System GIs, Intermediate Complexity</t>
  </si>
  <si>
    <t>G12C</t>
  </si>
  <si>
    <t>Other Digestive System GIs, Minor Complexity</t>
  </si>
  <si>
    <t>G13Z</t>
  </si>
  <si>
    <t>Peritonectomy for Gastrointestinal Disorders</t>
  </si>
  <si>
    <t>G46A</t>
  </si>
  <si>
    <t>Complex Endoscopy, Major Complexity</t>
  </si>
  <si>
    <t>G46B</t>
  </si>
  <si>
    <t>Complex Endoscopy, Minor Complexity</t>
  </si>
  <si>
    <t>G47A</t>
  </si>
  <si>
    <t>Gastroscopy, Major Complexity</t>
  </si>
  <si>
    <t>G47B</t>
  </si>
  <si>
    <t>Gastroscopy, Intermediate Complexity</t>
  </si>
  <si>
    <t>G47C</t>
  </si>
  <si>
    <t>Gastroscopy, Minor Complexity</t>
  </si>
  <si>
    <t>G48A</t>
  </si>
  <si>
    <t>Colonoscopy, Major Complexity</t>
  </si>
  <si>
    <t>G48B</t>
  </si>
  <si>
    <t>Colonoscopy, Minor Complexity</t>
  </si>
  <si>
    <t>G60A</t>
  </si>
  <si>
    <t>Digestive Malignancy, Major Complexity</t>
  </si>
  <si>
    <t>G60B</t>
  </si>
  <si>
    <t>Digestive Malignancy, Minor Complexity</t>
  </si>
  <si>
    <t>G61A</t>
  </si>
  <si>
    <t>Gastrointestinal Haemorrhage, Major Complexity</t>
  </si>
  <si>
    <t>G61B</t>
  </si>
  <si>
    <t>Gastrointestinal Haemorrhage, Minor Complexity</t>
  </si>
  <si>
    <t>G64Z</t>
  </si>
  <si>
    <t>Inflammatory Bowel Disease</t>
  </si>
  <si>
    <t>G65A</t>
  </si>
  <si>
    <t>Gastrointestinal Obstruction, Major Complexity</t>
  </si>
  <si>
    <t>G65B</t>
  </si>
  <si>
    <t>Gastrointestinal Obstruction, Minor Complexity</t>
  </si>
  <si>
    <t>G66A</t>
  </si>
  <si>
    <t>Abdominal Pain and Mesenteric Adenitis, Major Complexity</t>
  </si>
  <si>
    <t>G66B</t>
  </si>
  <si>
    <t>Abdominal Pain and Mesenteric Adenitis, Minor Complexity</t>
  </si>
  <si>
    <t>G67A</t>
  </si>
  <si>
    <t>Oesophagitis and Gastroenteritis, Major Complexity</t>
  </si>
  <si>
    <t>G67B</t>
  </si>
  <si>
    <t>Oesophagitis and Gastroenteritis, Minor Complexity</t>
  </si>
  <si>
    <t>G70A</t>
  </si>
  <si>
    <t>Other Digestive System Disorders, Major Complexity</t>
  </si>
  <si>
    <t>G70B</t>
  </si>
  <si>
    <t>Other Digestive System Disorders, Intermediate Complexity</t>
  </si>
  <si>
    <t>G70C</t>
  </si>
  <si>
    <t>Other Digestive System Disorders, Minor Complexity</t>
  </si>
  <si>
    <t>H01A</t>
  </si>
  <si>
    <t>Pancreas, Liver and Shunt Interventions, Major Complexity</t>
  </si>
  <si>
    <t>H01B</t>
  </si>
  <si>
    <t>Pancreas, Liver and Shunt Interventions, Intermediate Complexity</t>
  </si>
  <si>
    <t>H01C</t>
  </si>
  <si>
    <t>Pancreas, Liver and Shunt Interventions, Minor Complexity</t>
  </si>
  <si>
    <t>H02A</t>
  </si>
  <si>
    <t>Major Biliary Tract Interventions, Major Complexity</t>
  </si>
  <si>
    <t>H02B</t>
  </si>
  <si>
    <t>Major Biliary Tract Interventions, Intermediate Complexity</t>
  </si>
  <si>
    <t>H02C</t>
  </si>
  <si>
    <t>Major Biliary Tract Interventions, Minor Complexity</t>
  </si>
  <si>
    <t>H05A</t>
  </si>
  <si>
    <t>Hepatobiliary Diagnostic Interventions, Major Complexity</t>
  </si>
  <si>
    <t>H05B</t>
  </si>
  <si>
    <t>Hepatobiliary Diagnostic Interventions, Intermediate Complexity</t>
  </si>
  <si>
    <t>H05C</t>
  </si>
  <si>
    <t>Hepatobiliary Diagnostic Interventions, Minor Complexity</t>
  </si>
  <si>
    <t>H06A</t>
  </si>
  <si>
    <t>Other Hepatobiliary and Pancreas Interventions, Major Complexity</t>
  </si>
  <si>
    <t>H06B</t>
  </si>
  <si>
    <t>Other Hepatobiliary and Pancreas Interventions, Intermediate Complexity</t>
  </si>
  <si>
    <t>H06C</t>
  </si>
  <si>
    <t>Other Hepatobiliary and Pancreas Interventions, Minor Complexity</t>
  </si>
  <si>
    <t>H07A</t>
  </si>
  <si>
    <t>Open Cholecystectomy, Major Complexity</t>
  </si>
  <si>
    <t>H07B</t>
  </si>
  <si>
    <t>Open Cholecystectomy, Intermediate Complexity</t>
  </si>
  <si>
    <t>H07C</t>
  </si>
  <si>
    <t>Open Cholecystectomy, Minor Complexity</t>
  </si>
  <si>
    <t>H08A</t>
  </si>
  <si>
    <t>Laparoscopic Cholecystectomy, Major Complexity</t>
  </si>
  <si>
    <t>H08B</t>
  </si>
  <si>
    <t>Laparoscopic Cholecystectomy, Minor Complexity</t>
  </si>
  <si>
    <t>H09Z</t>
  </si>
  <si>
    <t>Liver Transplantation</t>
  </si>
  <si>
    <t>H60A</t>
  </si>
  <si>
    <t>Cirrhosis and Alcoholic Hepatitis, Major Complexity</t>
  </si>
  <si>
    <t>H60B</t>
  </si>
  <si>
    <t>Cirrhosis and Alcoholic Hepatitis, Intermediate Complexity</t>
  </si>
  <si>
    <t>H60C</t>
  </si>
  <si>
    <t>Cirrhosis and Alcoholic Hepatitis, Minor Complexity</t>
  </si>
  <si>
    <t>H61A</t>
  </si>
  <si>
    <t>Malignancy of Hepatobiliary System and Pancreas, Major Complexity</t>
  </si>
  <si>
    <t>H61B</t>
  </si>
  <si>
    <t>Malignancy of Hepatobiliary System and Pancreas, Minor Complexity</t>
  </si>
  <si>
    <t>H62A</t>
  </si>
  <si>
    <t>Disorders of Pancreas, Excluding Malignancy, Major Complexity</t>
  </si>
  <si>
    <t>H62B</t>
  </si>
  <si>
    <t>Disorders of Pancreas, Excluding Malignancy, Minor Complexity</t>
  </si>
  <si>
    <t>H63A</t>
  </si>
  <si>
    <t>Other Disorders of Liver, Major Complexity</t>
  </si>
  <si>
    <t>H63B</t>
  </si>
  <si>
    <t>Other Disorders of Liver, Intermediate Complexity</t>
  </si>
  <si>
    <t>H63C</t>
  </si>
  <si>
    <t>Other Disorders of Liver, Minor Complexity</t>
  </si>
  <si>
    <t>H64A</t>
  </si>
  <si>
    <t>Disorders of the Biliary Tract, Major Complexity</t>
  </si>
  <si>
    <t>H64B</t>
  </si>
  <si>
    <t>Disorders of the Biliary Tract, Minor Complexity</t>
  </si>
  <si>
    <t>H65A</t>
  </si>
  <si>
    <t>Bleeding Oesophageal Varices, Major Complexity</t>
  </si>
  <si>
    <t>H65B</t>
  </si>
  <si>
    <t>Bleeding Oesophageal Varices, Intermediate Complexity</t>
  </si>
  <si>
    <t>H65C</t>
  </si>
  <si>
    <t>Bleeding Oesophageal Varices, Minor Complexity</t>
  </si>
  <si>
    <t>I01A</t>
  </si>
  <si>
    <t>Bilateral and Multiple Major Joint Interventions of Lower Limb, Major Complexity</t>
  </si>
  <si>
    <t>I01B</t>
  </si>
  <si>
    <t>Bilateral and Multiple Major Joint Interventions of Lower Limb, Minor Complexity</t>
  </si>
  <si>
    <t>I02A</t>
  </si>
  <si>
    <t>Microvascular Tissue Transfers or Skin Grafts, Excluding Hand, Major Complexity</t>
  </si>
  <si>
    <t>I02B</t>
  </si>
  <si>
    <t>Microvascular Tissue Transfers or Skin Grafts, Excluding Hand, Intermediate Complexity</t>
  </si>
  <si>
    <t>I02C</t>
  </si>
  <si>
    <t>Microvascular Tissue Transfers or Skin Grafts, Excluding Hand, Minor Complexity</t>
  </si>
  <si>
    <t>I03A</t>
  </si>
  <si>
    <t>Hip Replacement for Trauma, Major Complexity</t>
  </si>
  <si>
    <t>I03B</t>
  </si>
  <si>
    <t>Hip Replacement for Trauma, Minor Complexity</t>
  </si>
  <si>
    <t>I04A</t>
  </si>
  <si>
    <t>Knee Replacement, Major Complexity</t>
  </si>
  <si>
    <t>I04B</t>
  </si>
  <si>
    <t>Knee Replacement, Minor Complexity</t>
  </si>
  <si>
    <t>I05A</t>
  </si>
  <si>
    <t>Other Joint Replacement, Major Complexity</t>
  </si>
  <si>
    <t>I05B</t>
  </si>
  <si>
    <t>Other Joint Replacement, Minor Complexity</t>
  </si>
  <si>
    <t>I06Z</t>
  </si>
  <si>
    <t>Spinal Fusion for Deformity</t>
  </si>
  <si>
    <t>I07Z</t>
  </si>
  <si>
    <t>Amputation</t>
  </si>
  <si>
    <t>I08A</t>
  </si>
  <si>
    <t>Other Hip and Femur Interventions, Major Complexity</t>
  </si>
  <si>
    <t>I08B</t>
  </si>
  <si>
    <t>Other Hip and Femur Interventions, Intermediate Complexity</t>
  </si>
  <si>
    <t>I08C</t>
  </si>
  <si>
    <t>Other Hip and Femur Interventions, Minor Complexity</t>
  </si>
  <si>
    <t>I09A</t>
  </si>
  <si>
    <t>Spinal Fusion, Major Complexity</t>
  </si>
  <si>
    <t>I09B</t>
  </si>
  <si>
    <t>Spinal Fusion, Intermediate Complexity</t>
  </si>
  <si>
    <t>I09C</t>
  </si>
  <si>
    <t>Spinal Fusion, Minor Complexity</t>
  </si>
  <si>
    <t>I10A</t>
  </si>
  <si>
    <t>Other Back and Neck Interventions, Major Complexity</t>
  </si>
  <si>
    <t>I10B</t>
  </si>
  <si>
    <t>Other Back and Neck Interventions, Minor Complexity</t>
  </si>
  <si>
    <t>I11Z</t>
  </si>
  <si>
    <t>Limb Lengthening Interventions</t>
  </si>
  <si>
    <t>I12A</t>
  </si>
  <si>
    <t>Miscellaneous Musculoskeletal Interventions for Infection/Inflammation of Bone and Joint, Major Complexity</t>
  </si>
  <si>
    <t>I12B</t>
  </si>
  <si>
    <t>Miscellaneous Musculoskeletal Interventions for Infection/Inflammation of Bone and Joint, Intermediate Complexity</t>
  </si>
  <si>
    <t>I12C</t>
  </si>
  <si>
    <t>Miscellaneous Musculoskeletal Interventions for Infection/Inflammation of Bone and Joint, Minor Complexity</t>
  </si>
  <si>
    <t>I13A</t>
  </si>
  <si>
    <t>Humerus, Tibia, Fibula and Ankle Interventions, Major Complexity</t>
  </si>
  <si>
    <t>I13B</t>
  </si>
  <si>
    <t>Humerus, Tibia, Fibula and Ankle Interventions, Intermediate Complexity</t>
  </si>
  <si>
    <t>I13C</t>
  </si>
  <si>
    <t>Humerus, Tibia, Fibula and Ankle Interventions, Minor Complexity</t>
  </si>
  <si>
    <t>I15Z</t>
  </si>
  <si>
    <t>Cranio-Facial Surgery</t>
  </si>
  <si>
    <t>I16Z</t>
  </si>
  <si>
    <t>Other Shoulder Interventions</t>
  </si>
  <si>
    <t>I17A</t>
  </si>
  <si>
    <t>Maxillo-Facial Surgery, Major Complexity</t>
  </si>
  <si>
    <t>I17B</t>
  </si>
  <si>
    <t>Maxillo-Facial Surgery, Minor Complexity</t>
  </si>
  <si>
    <t>I18A</t>
  </si>
  <si>
    <t>Other Knee Interventions, Major Complexity</t>
  </si>
  <si>
    <t>I18B</t>
  </si>
  <si>
    <t>Other Knee Interventions, Minor Complexity</t>
  </si>
  <si>
    <t>I19A</t>
  </si>
  <si>
    <t>Other Elbow and Forearm Interventions, Major Complexity</t>
  </si>
  <si>
    <t>I19B</t>
  </si>
  <si>
    <t>Other Elbow and Forearm Interventions, Minor Complexity</t>
  </si>
  <si>
    <t>I20A</t>
  </si>
  <si>
    <t>Other Foot Interventions, Major Complexity</t>
  </si>
  <si>
    <t>I20B</t>
  </si>
  <si>
    <t>Other Foot Interventions, Minor Complexity</t>
  </si>
  <si>
    <t>I21A</t>
  </si>
  <si>
    <t>Local Excision and Removal of Internal Fixation Devices of Hip and Femur, Major Complexity</t>
  </si>
  <si>
    <t>I21B</t>
  </si>
  <si>
    <t>Local Excision and Removal of Internal Fixation Devices of Hip and Femur, Minor Complexity</t>
  </si>
  <si>
    <t>I23A</t>
  </si>
  <si>
    <t>Local Excision and Removal of Internal Fixation Devices, Excluding Hip and Femur, Major Complexity</t>
  </si>
  <si>
    <t>I23B</t>
  </si>
  <si>
    <t>Local Excision and Removal of Internal Fixation Devices, Excluding Hip and Femur, Minor Complexity</t>
  </si>
  <si>
    <t>I24A</t>
  </si>
  <si>
    <t>Arthroscopy, Major Complexity</t>
  </si>
  <si>
    <t>I24B</t>
  </si>
  <si>
    <t>Arthroscopy, Minor Complexity</t>
  </si>
  <si>
    <t>I25A</t>
  </si>
  <si>
    <t>Bone and Joint Diagnostic Interventions Including Biopsy, Major Complexity</t>
  </si>
  <si>
    <t>I25B</t>
  </si>
  <si>
    <t>Bone and Joint Diagnostic Interventions Including Biopsy, Minor Complexity</t>
  </si>
  <si>
    <t>I27A</t>
  </si>
  <si>
    <t>Soft Tissue Interventions, Major Complexity</t>
  </si>
  <si>
    <t>I27B</t>
  </si>
  <si>
    <t>Soft Tissue Interventions, Minor Complexity</t>
  </si>
  <si>
    <t>I28A</t>
  </si>
  <si>
    <t>Other Musculoskeletal Interventions, Major Complexity</t>
  </si>
  <si>
    <t>I28B</t>
  </si>
  <si>
    <t>Other Musculoskeletal Interventions, Intermediate Complexity</t>
  </si>
  <si>
    <t>I28C</t>
  </si>
  <si>
    <t>Other Musculoskeletal Interventions, Minor Complexity</t>
  </si>
  <si>
    <t>I29Z</t>
  </si>
  <si>
    <t>Knee Reconstructions, and Revisions of Reconstructions</t>
  </si>
  <si>
    <t>I30Z</t>
  </si>
  <si>
    <t>Hand Interventions</t>
  </si>
  <si>
    <t>I31A</t>
  </si>
  <si>
    <t>Revision of Hip Replacement, Major Complexity</t>
  </si>
  <si>
    <t>I31B</t>
  </si>
  <si>
    <t>Revision of Hip Replacement, Intermediate Complexity</t>
  </si>
  <si>
    <t>I31C</t>
  </si>
  <si>
    <t>Revision of Hip Replacement, Minor Complexity</t>
  </si>
  <si>
    <t>I32A</t>
  </si>
  <si>
    <t>Revision of Knee Replacement, Major Complexity</t>
  </si>
  <si>
    <t>I32B</t>
  </si>
  <si>
    <t>Revision of Knee Replacement, Minor Complexity</t>
  </si>
  <si>
    <t>I33A</t>
  </si>
  <si>
    <t>Hip Replacement for Non-Trauma, Major Complexity</t>
  </si>
  <si>
    <t>I33B</t>
  </si>
  <si>
    <t>Hip Replacement for Non-Trauma, Minor Complexity</t>
  </si>
  <si>
    <t>I60Z</t>
  </si>
  <si>
    <t>Femoral Shaft Fractures</t>
  </si>
  <si>
    <t>I61Z</t>
  </si>
  <si>
    <t>Distal Femoral Fractures</t>
  </si>
  <si>
    <t>I63A</t>
  </si>
  <si>
    <t>Sprains, Strains and Dislocations of Hip, Pelvis and Thigh, Major Complexity</t>
  </si>
  <si>
    <t>I63B</t>
  </si>
  <si>
    <t>Sprains, Strains and Dislocations of Hip, Pelvis and Thigh, Minor Complexity</t>
  </si>
  <si>
    <t>I64A</t>
  </si>
  <si>
    <t>Osteomyelitis, Major Complexity</t>
  </si>
  <si>
    <t>I64B</t>
  </si>
  <si>
    <t>Osteomyelitis, Minor Complexity</t>
  </si>
  <si>
    <t>I65A</t>
  </si>
  <si>
    <t>Musculoskeletal Malignant Neoplastic Disorders, Major Complexity</t>
  </si>
  <si>
    <t>I65B</t>
  </si>
  <si>
    <t>Musculoskeletal Malignant Neoplastic Disorders, Minor Complexity</t>
  </si>
  <si>
    <t>I66A</t>
  </si>
  <si>
    <t>Inflammatory Musculoskeletal Disorders, Major Complexity</t>
  </si>
  <si>
    <t>I66B</t>
  </si>
  <si>
    <t>Inflammatory Musculoskeletal Disorders, Minor Complexity</t>
  </si>
  <si>
    <t>I67A</t>
  </si>
  <si>
    <t>Septic Arthritis, Major Complexity</t>
  </si>
  <si>
    <t>I67B</t>
  </si>
  <si>
    <t>Septic Arthritis, Minor Complexity</t>
  </si>
  <si>
    <t>I68A</t>
  </si>
  <si>
    <t>Non-surgical Spinal Disorders, Major Complexity</t>
  </si>
  <si>
    <t>I68B</t>
  </si>
  <si>
    <t>Non-surgical Spinal Disorders, Minor Complexity</t>
  </si>
  <si>
    <t>I69A</t>
  </si>
  <si>
    <t>Bone Diseases and Arthropathies, Major Complexity</t>
  </si>
  <si>
    <t>I69B</t>
  </si>
  <si>
    <t>Bone Diseases and Arthropathies, Minor Complexity</t>
  </si>
  <si>
    <t>I71A</t>
  </si>
  <si>
    <t>Other Musculotendinous Disorders, Major Complexity</t>
  </si>
  <si>
    <t>I71B</t>
  </si>
  <si>
    <t>Other Musculotendinous Disorders, Minor Complexity</t>
  </si>
  <si>
    <t>I72A</t>
  </si>
  <si>
    <t>Specific Musculotendinous Disorders, Major Complexity</t>
  </si>
  <si>
    <t>I72B</t>
  </si>
  <si>
    <t>Specific Musculotendinous Disorders, Minor Complexity</t>
  </si>
  <si>
    <t>I73A</t>
  </si>
  <si>
    <t>Aftercare of Musculoskeletal Implants or Prostheses, Major Complexity</t>
  </si>
  <si>
    <t>I73B</t>
  </si>
  <si>
    <t>Aftercare of Musculoskeletal Implants or Prostheses, Minor Complexity</t>
  </si>
  <si>
    <t>I74A</t>
  </si>
  <si>
    <t>Injuries to Forearm, Wrist, Hand and Foot, Major Complexity</t>
  </si>
  <si>
    <t>I74B</t>
  </si>
  <si>
    <t>Injuries to Forearm, Wrist, Hand and Foot, Minor Complexity</t>
  </si>
  <si>
    <t>I75A</t>
  </si>
  <si>
    <t>Injuries to Shoulder, Arm, Elbow, Knee, Leg and Ankle, Major Complexity</t>
  </si>
  <si>
    <t>I75B</t>
  </si>
  <si>
    <t>Injuries to Shoulder, Arm, Elbow, Knee, Leg and Ankle, Intermediate Complexity</t>
  </si>
  <si>
    <t>I75C</t>
  </si>
  <si>
    <t>Injuries to Shoulder, Arm, Elbow, Knee, Leg and Ankle, Minor Complexity</t>
  </si>
  <si>
    <t>I76A</t>
  </si>
  <si>
    <t>Other Musculoskeletal Disorders, Major Complexity</t>
  </si>
  <si>
    <t>I76B</t>
  </si>
  <si>
    <t>Other Musculoskeletal Disorders, Minor Complexity</t>
  </si>
  <si>
    <t>I77A</t>
  </si>
  <si>
    <t>Fractures of Pelvis, Major Complexity</t>
  </si>
  <si>
    <t>I77B</t>
  </si>
  <si>
    <t>Fractures of Pelvis, Minor Complexity</t>
  </si>
  <si>
    <t>I78A</t>
  </si>
  <si>
    <t>Fractures of Neck of Femur, Major Complexity</t>
  </si>
  <si>
    <t>I78B</t>
  </si>
  <si>
    <t>Fractures of Neck of Femur, Minor Complexity</t>
  </si>
  <si>
    <t>I79A</t>
  </si>
  <si>
    <t>Pathological Fractures, Major Complexity</t>
  </si>
  <si>
    <t>I79B</t>
  </si>
  <si>
    <t>Pathological Fractures, Minor Complexity</t>
  </si>
  <si>
    <t>I80Z</t>
  </si>
  <si>
    <t>Femoral Fractures, Transferred to Acute Facility &lt; 2 Days</t>
  </si>
  <si>
    <t>J01A</t>
  </si>
  <si>
    <t>Microvascular Tissue Transfers for Skin, Subcutaneous Tissue and Breast Disorders, Major Complexity</t>
  </si>
  <si>
    <t>J01B</t>
  </si>
  <si>
    <t>Microvascular Tissue Transfers for Skin, Subcutaneous Tissue and Breast Disorders, Minor Complexity</t>
  </si>
  <si>
    <t>J06A</t>
  </si>
  <si>
    <t>Major Interventions for Breast Disorders, Major Complexity</t>
  </si>
  <si>
    <t>J06B</t>
  </si>
  <si>
    <t>Major Interventions for Breast Disorders, Minor Complexity</t>
  </si>
  <si>
    <t>J07Z</t>
  </si>
  <si>
    <t>Minor Interventions for Breast Disorders</t>
  </si>
  <si>
    <t>J08A</t>
  </si>
  <si>
    <t>Other Skin Grafts and Debridement Interventions, Major Complexity</t>
  </si>
  <si>
    <t>J08B</t>
  </si>
  <si>
    <t>Other Skin Grafts and Debridement Interventions, Intermediate Complexity</t>
  </si>
  <si>
    <t>J08C</t>
  </si>
  <si>
    <t>Other Skin Grafts and Debridement Interventions, Minor Complexity</t>
  </si>
  <si>
    <t>J09Z</t>
  </si>
  <si>
    <t>Perianal and Pilonidal Interventions</t>
  </si>
  <si>
    <t>J10A</t>
  </si>
  <si>
    <t>Plastic GIs for Skin, Subcutaneous Tissue and Breast Disorders, Major Complexity</t>
  </si>
  <si>
    <t>J10B</t>
  </si>
  <si>
    <t>Plastic GIs for Skin, Subcutaneous Tissue and Breast Disorders, Minor Complexity</t>
  </si>
  <si>
    <t>J11A</t>
  </si>
  <si>
    <t>Other Skin, Subcutaneous Tissue and Breast Interventions, Major Complexity</t>
  </si>
  <si>
    <t>J11B</t>
  </si>
  <si>
    <t>Other Skin, Subcutaneous Tissue and Breast Interventions, Minor Complexity</t>
  </si>
  <si>
    <t>J12A</t>
  </si>
  <si>
    <t>Lower Limb Interventions with Ulcer or Cellulitis, Major Complexity</t>
  </si>
  <si>
    <t>J12B</t>
  </si>
  <si>
    <t>Lower Limb Interventions with Ulcer or Cellulitis, Minor Complexity</t>
  </si>
  <si>
    <t>J13A</t>
  </si>
  <si>
    <t>Lower Limb Interventions without Ulcer or Cellulitis, Major Complexity</t>
  </si>
  <si>
    <t>J13B</t>
  </si>
  <si>
    <t>Lower Limb Interventions without Ulcer or Cellulitis, Minor Complexity</t>
  </si>
  <si>
    <t>J14Z</t>
  </si>
  <si>
    <t>Major Breast Reconstructions</t>
  </si>
  <si>
    <t>J60A</t>
  </si>
  <si>
    <t>Skin Ulcers and Pressure Injuries, Major Complexity</t>
  </si>
  <si>
    <t>J60B</t>
  </si>
  <si>
    <t>Skin Ulcers and Pressure Injuries, Intermediate Complexity</t>
  </si>
  <si>
    <t>J60C</t>
  </si>
  <si>
    <t>Skin Ulcers and Pressure Injuries, Minor Complexity</t>
  </si>
  <si>
    <t>J62A</t>
  </si>
  <si>
    <t>Malignant Breast Disorders, Major Complexity</t>
  </si>
  <si>
    <t>J62B</t>
  </si>
  <si>
    <t>Malignant Breast Disorders, Minor Complexity</t>
  </si>
  <si>
    <t>J63Z</t>
  </si>
  <si>
    <t>Non-Malignant Breast Disorders</t>
  </si>
  <si>
    <t>J64A</t>
  </si>
  <si>
    <t>Cellulitis, Major Complexity</t>
  </si>
  <si>
    <t>J64B</t>
  </si>
  <si>
    <t>Cellulitis, Minor Complexity</t>
  </si>
  <si>
    <t>J65A</t>
  </si>
  <si>
    <t>Trauma to Skin, Subcutaneous Tissue and Breast, Major Complexity</t>
  </si>
  <si>
    <t>J65B</t>
  </si>
  <si>
    <t>Trauma to Skin, Subcutaneous Tissue and Breast, Minor Complexity</t>
  </si>
  <si>
    <t>J67A</t>
  </si>
  <si>
    <t>Minor Skin Disorders, Major Complexity</t>
  </si>
  <si>
    <t>J67B</t>
  </si>
  <si>
    <t>Minor Skin Disorders, Minor Complexity</t>
  </si>
  <si>
    <t>J68A</t>
  </si>
  <si>
    <t>Major Skin Disorders, Major Complexity</t>
  </si>
  <si>
    <t>J68B</t>
  </si>
  <si>
    <t>Major Skin Disorders, Minor Complexity</t>
  </si>
  <si>
    <t>J69A</t>
  </si>
  <si>
    <t>Skin Malignancy, Major Complexity</t>
  </si>
  <si>
    <t>J69B</t>
  </si>
  <si>
    <t>Skin Malignancy, Minor Complexity</t>
  </si>
  <si>
    <t>K01A</t>
  </si>
  <si>
    <t>GIs for Diabetic Complications, Major Complexity</t>
  </si>
  <si>
    <t>K01B</t>
  </si>
  <si>
    <t>GIs for Diabetic Complications, Intermediate Complexity</t>
  </si>
  <si>
    <t>K01C</t>
  </si>
  <si>
    <t>GIs for Diabetic Complications, Minor Complexity</t>
  </si>
  <si>
    <t>K02Z</t>
  </si>
  <si>
    <t>Pituitary Interventions</t>
  </si>
  <si>
    <t>K03Z</t>
  </si>
  <si>
    <t>Adrenal Interventions</t>
  </si>
  <si>
    <t>K05A</t>
  </si>
  <si>
    <t>Parathyroid Interventions, Major Complexity</t>
  </si>
  <si>
    <t>K05B</t>
  </si>
  <si>
    <t>Parathyroid Interventions, Minor Complexity</t>
  </si>
  <si>
    <t>K06A</t>
  </si>
  <si>
    <t>Thyroid Interventions, Major Complexity</t>
  </si>
  <si>
    <t>K06B</t>
  </si>
  <si>
    <t>Thyroid Interventions, Minor Complexity</t>
  </si>
  <si>
    <t>K08Z</t>
  </si>
  <si>
    <t>Thyroglossal Interventions</t>
  </si>
  <si>
    <t>K09A</t>
  </si>
  <si>
    <t>Other Endocrine, Nutritional and Metabolic GIs, Major Complexity</t>
  </si>
  <si>
    <t>K09B</t>
  </si>
  <si>
    <t>Other Endocrine, Nutritional and Metabolic GIs, Minor Complexity</t>
  </si>
  <si>
    <t>K10Z</t>
  </si>
  <si>
    <t>Revisional and Open Interventions for Obesity</t>
  </si>
  <si>
    <t>K11A</t>
  </si>
  <si>
    <t>Major Laparoscopic Interventions for Obesity, Major Complexity</t>
  </si>
  <si>
    <t>K11B</t>
  </si>
  <si>
    <t>Major Laparoscopic Interventions for Obesity, Minor Complexity</t>
  </si>
  <si>
    <t>K12Z</t>
  </si>
  <si>
    <t>Other Interventions for Obesity</t>
  </si>
  <si>
    <t>K13Z</t>
  </si>
  <si>
    <t>Plastic GIs for Endocrine, Nutritional and Metabolic Disorders</t>
  </si>
  <si>
    <t>K40A</t>
  </si>
  <si>
    <t>Endoscopic and Investigative Interventions for Metabolic Disorders, Major Complexity</t>
  </si>
  <si>
    <t>K40B</t>
  </si>
  <si>
    <t>Endoscopic and Investigative Interventions for Metabolic Disorders, Minor Complexity</t>
  </si>
  <si>
    <t>K60A</t>
  </si>
  <si>
    <t>Diabetes, Major Complexity</t>
  </si>
  <si>
    <t>K60B</t>
  </si>
  <si>
    <t>Diabetes, Minor Complexity</t>
  </si>
  <si>
    <t>K61A</t>
  </si>
  <si>
    <t>Severe Nutritional Disturbance, Major Complexity</t>
  </si>
  <si>
    <t>K61B</t>
  </si>
  <si>
    <t>Severe Nutritional Disturbance, Minor Complexity</t>
  </si>
  <si>
    <t>K62A</t>
  </si>
  <si>
    <t>Miscellaneous Metabolic Disorders, Major Complexity</t>
  </si>
  <si>
    <t>K62B</t>
  </si>
  <si>
    <t>Miscellaneous Metabolic Disorders, Intermediate Complexity</t>
  </si>
  <si>
    <t>K62C</t>
  </si>
  <si>
    <t>Miscellaneous Metabolic Disorders, Minor Complexity</t>
  </si>
  <si>
    <t>K63A</t>
  </si>
  <si>
    <t>Inborn Errors of Metabolism, Major Complexity</t>
  </si>
  <si>
    <t>K63B</t>
  </si>
  <si>
    <t>Inborn Errors of Metabolism, Minor Complexity</t>
  </si>
  <si>
    <t>K64A</t>
  </si>
  <si>
    <t>Endocrine Disorders, Major Complexity</t>
  </si>
  <si>
    <t>K64B</t>
  </si>
  <si>
    <t>Endocrine Disorders, Minor Complexity</t>
  </si>
  <si>
    <t>L02A</t>
  </si>
  <si>
    <t>Operative Insertion of Peritoneal Catheter for Dialysis, Major Complexity</t>
  </si>
  <si>
    <t>L02B</t>
  </si>
  <si>
    <t>Operative Insertion of Peritoneal Catheter for Dialysis, Minor Complexity</t>
  </si>
  <si>
    <t>L03A</t>
  </si>
  <si>
    <t>Kidney, Ureter and Major Bladder Interventions for Neoplastic Disorders, Major Complexity</t>
  </si>
  <si>
    <t>L03B</t>
  </si>
  <si>
    <t>Kidney, Ureter and Major Bladder Interventions for Neoplastic Disorders, Intermediate Complexity</t>
  </si>
  <si>
    <t>L03C</t>
  </si>
  <si>
    <t>Kidney, Ureter and Major Bladder Interventions for Neoplastic Disorders, Minor Complexity</t>
  </si>
  <si>
    <t>L04A</t>
  </si>
  <si>
    <t>Kidney, Ureter and Major Bladder Interventions for Non-Neoplastic Disorders, Major Complexity</t>
  </si>
  <si>
    <t>L04B</t>
  </si>
  <si>
    <t>Kidney, Ureter and Major Bladder Interventions for Non-Neoplastic Disorders, Intermediate Complexity</t>
  </si>
  <si>
    <t>L04C</t>
  </si>
  <si>
    <t>Kidney, Ureter and Major Bladder Interventions for Non-Neoplastic Disorders, Minor Complexity</t>
  </si>
  <si>
    <t>L05A</t>
  </si>
  <si>
    <t>Transurethral Prostatectomy for Urinary Disorder, Major Complexity</t>
  </si>
  <si>
    <t>L05B</t>
  </si>
  <si>
    <t>Transurethral Prostatectomy for Urinary Disorder, Minor Complexity</t>
  </si>
  <si>
    <t>L06A</t>
  </si>
  <si>
    <t>Minor Bladder Interventions, Major Complexity</t>
  </si>
  <si>
    <t>L06B</t>
  </si>
  <si>
    <t>Minor Bladder Interventions, Intermediate Complexity</t>
  </si>
  <si>
    <t>L06C</t>
  </si>
  <si>
    <t>Minor Bladder Interventions, Minor Complexity</t>
  </si>
  <si>
    <t>L07A</t>
  </si>
  <si>
    <t>Other Transurethral Interventions, Major Complexity</t>
  </si>
  <si>
    <t>L07B</t>
  </si>
  <si>
    <t>Other Transurethral Interventions, Minor Complexity</t>
  </si>
  <si>
    <t>L08Z</t>
  </si>
  <si>
    <t>Urethral Interventions</t>
  </si>
  <si>
    <t>L09A</t>
  </si>
  <si>
    <t>Other Interventions for Kidney and Urinary Tract Disorders, Major Complexity</t>
  </si>
  <si>
    <t>L09B</t>
  </si>
  <si>
    <t>Other Interventions for Kidney and Urinary Tract Disorders, Intermediate Complexity</t>
  </si>
  <si>
    <t>L09C</t>
  </si>
  <si>
    <t>Other Interventions for Kidney and Urinary Tract Disorders, Minor Complexity</t>
  </si>
  <si>
    <t>L10A</t>
  </si>
  <si>
    <t>Kidney Transplantation, Age &lt;= 16 Years or Major Complexity</t>
  </si>
  <si>
    <t>L10B</t>
  </si>
  <si>
    <t>Kidney Transplantation, Age &gt;= 17 Years and Minor Complexity</t>
  </si>
  <si>
    <t>L43A</t>
  </si>
  <si>
    <t>Nephrolithiasis Interventions, Major Complexity</t>
  </si>
  <si>
    <t>L43B</t>
  </si>
  <si>
    <t>Nephrolithiasis Interventions, Minor Complexity</t>
  </si>
  <si>
    <t>L44A</t>
  </si>
  <si>
    <t>Cystourethroscopy for Urinary Disorder, Major Complexity</t>
  </si>
  <si>
    <t>L44B</t>
  </si>
  <si>
    <t>Cystourethroscopy for Urinary Disorder, Minor Complexity</t>
  </si>
  <si>
    <t>L60A</t>
  </si>
  <si>
    <t>Kidney Failure, Major Complexity</t>
  </si>
  <si>
    <t>L60B</t>
  </si>
  <si>
    <t>Kidney Failure, Intermediate Complexity</t>
  </si>
  <si>
    <t>L60C</t>
  </si>
  <si>
    <t>Kidney Failure, Minor Complexity</t>
  </si>
  <si>
    <t>L61Z</t>
  </si>
  <si>
    <t>Haemodialysis</t>
  </si>
  <si>
    <t>L62A</t>
  </si>
  <si>
    <t>Kidney and Urinary Tract Neoplastic Disorders, Major Complexity</t>
  </si>
  <si>
    <t>L62B</t>
  </si>
  <si>
    <t>Kidney and Urinary Tract Neoplastic Disorders, Intermediate Complexity</t>
  </si>
  <si>
    <t>L62C</t>
  </si>
  <si>
    <t>Kidney and Urinary Tract Neoplastic Disorders, Minor Complexity</t>
  </si>
  <si>
    <t>L63A</t>
  </si>
  <si>
    <t>Kidney and Urinary Tract Infections, Major Complexity</t>
  </si>
  <si>
    <t>L63B</t>
  </si>
  <si>
    <t>Kidney and Urinary Tract Infections, Minor Complexity</t>
  </si>
  <si>
    <t>L64A</t>
  </si>
  <si>
    <t>Urinary Stones and Obstruction, Major Complexity</t>
  </si>
  <si>
    <t>L64B</t>
  </si>
  <si>
    <t>Urinary Stones and Obstruction, Minor Complexity</t>
  </si>
  <si>
    <t>L65A</t>
  </si>
  <si>
    <t>Kidney and Urinary Tract Signs and Symptoms, Major Complexity</t>
  </si>
  <si>
    <t>L65B</t>
  </si>
  <si>
    <t>Kidney and Urinary Tract Signs and Symptoms, Minor Complexity</t>
  </si>
  <si>
    <t>L66Z</t>
  </si>
  <si>
    <t>Urethral Stricture</t>
  </si>
  <si>
    <t>L67A</t>
  </si>
  <si>
    <t>Other Kidney and Urinary Tract Disorders, Major Complexity</t>
  </si>
  <si>
    <t>L67B</t>
  </si>
  <si>
    <t>Other Kidney and Urinary Tract Disorders, Intermediate Complexity</t>
  </si>
  <si>
    <t>L67C</t>
  </si>
  <si>
    <t>Other Kidney and Urinary Tract Disorders, Minor Complexity</t>
  </si>
  <si>
    <t>L68Z</t>
  </si>
  <si>
    <t>Peritoneal Dialysis</t>
  </si>
  <si>
    <t>M01A</t>
  </si>
  <si>
    <t>Major Male Pelvic Interventions, Major Complexity</t>
  </si>
  <si>
    <t>M01B</t>
  </si>
  <si>
    <t>Major Male Pelvic Interventions, Minor Complexity</t>
  </si>
  <si>
    <t>M02A</t>
  </si>
  <si>
    <t>Transurethral Prostatectomy for Reproductive System Disorder, Major Complexity</t>
  </si>
  <si>
    <t>M02B</t>
  </si>
  <si>
    <t>Transurethral Prostatectomy for Reproductive System Disorder, Minor Complexity</t>
  </si>
  <si>
    <t>M03A</t>
  </si>
  <si>
    <t>Penis Interventions, Major Complexity</t>
  </si>
  <si>
    <t>M03B</t>
  </si>
  <si>
    <t>Penis Interventions, Minor Complexity</t>
  </si>
  <si>
    <t>M04A</t>
  </si>
  <si>
    <t>Testes Interventions, Major Complexity</t>
  </si>
  <si>
    <t>M04B</t>
  </si>
  <si>
    <t>Testes Interventions, Minor Complexity</t>
  </si>
  <si>
    <t>M05Z</t>
  </si>
  <si>
    <t>Circumcision</t>
  </si>
  <si>
    <t>M06A</t>
  </si>
  <si>
    <t>Other Male Reproductive System GIs, Major Complexity</t>
  </si>
  <si>
    <t>M06B</t>
  </si>
  <si>
    <t>Other Male Reproductive System GIs, Minor Complexity</t>
  </si>
  <si>
    <t>M40Z</t>
  </si>
  <si>
    <t>Cystourethroscopy for Male Reproductive System Disorder, Sameday</t>
  </si>
  <si>
    <t>M60A</t>
  </si>
  <si>
    <t>Male Reproductive System Malignancy, Major Complexity</t>
  </si>
  <si>
    <t>M60B</t>
  </si>
  <si>
    <t>Male Reproductive System Malignancy, Minor Complexity</t>
  </si>
  <si>
    <t>M61A</t>
  </si>
  <si>
    <t>Benign Prostatic Hypertrophy, Major Complexity</t>
  </si>
  <si>
    <t>M61B</t>
  </si>
  <si>
    <t>Benign Prostatic Hypertrophy, Minor Complexity</t>
  </si>
  <si>
    <t>M62A</t>
  </si>
  <si>
    <t>Male Reproductive System Inflammation, Major Complexity</t>
  </si>
  <si>
    <t>M62B</t>
  </si>
  <si>
    <t>Male Reproductive System Inflammation, Minor Complexity</t>
  </si>
  <si>
    <t>M63Z</t>
  </si>
  <si>
    <t>Male Sterilisation Interventions</t>
  </si>
  <si>
    <t>M64A</t>
  </si>
  <si>
    <t>Other Male Reproductive System Disorders, Major Complexity</t>
  </si>
  <si>
    <t>M64B</t>
  </si>
  <si>
    <t>Other Male Reproductive System Disorders, Minor Complexity</t>
  </si>
  <si>
    <t>N01Z</t>
  </si>
  <si>
    <t>Pelvic Evisceration and Radical Vulvectomy</t>
  </si>
  <si>
    <t>N04A</t>
  </si>
  <si>
    <t>Hysterectomy for Non-Malignancy, Major Complexity</t>
  </si>
  <si>
    <t>N04B</t>
  </si>
  <si>
    <t>Hysterectomy for Non-Malignancy, Minor Complexity</t>
  </si>
  <si>
    <t>N05A</t>
  </si>
  <si>
    <t>Oophorectomy and Complex Fallopian Tube Interventions for Non-Malignancy, Major Complexity</t>
  </si>
  <si>
    <t>N05B</t>
  </si>
  <si>
    <t>Oophorectomy and Complex Fallopian Tube Interventions for Non-Malignancy, Minor Complexity</t>
  </si>
  <si>
    <t>N06A</t>
  </si>
  <si>
    <t>Female Reproductive System Reconstructive Interventions, Major Complexity</t>
  </si>
  <si>
    <t>N06B</t>
  </si>
  <si>
    <t>Female Reproductive System Reconstructive Interventions, Minor Complexity</t>
  </si>
  <si>
    <t>N07A</t>
  </si>
  <si>
    <t>Other Uterus and Adnexa Interventions for Non-Malignancy, Major Complexity</t>
  </si>
  <si>
    <t>N07B</t>
  </si>
  <si>
    <t>Other Uterus and Adnexa Interventions for Non-Malignancy, Minor Complexity</t>
  </si>
  <si>
    <t>N08Z</t>
  </si>
  <si>
    <t>Endoscopic and Laparoscopic Interventions, Female Reproductive System</t>
  </si>
  <si>
    <t>N09A</t>
  </si>
  <si>
    <t>Other Vagina, Cervix and Vulva Interventions, Major Complexity</t>
  </si>
  <si>
    <t>N09B</t>
  </si>
  <si>
    <t>Other Vagina, Cervix and Vulva Interventions, Minor Complexity</t>
  </si>
  <si>
    <t>N10Z</t>
  </si>
  <si>
    <t>Diagnostic Curettage and Diagnostic Hysteroscopy</t>
  </si>
  <si>
    <t>N11A</t>
  </si>
  <si>
    <t>Other Female Reproductive System GIs, Major Complexity</t>
  </si>
  <si>
    <t>N11B</t>
  </si>
  <si>
    <t>Other Female Reproductive System GIs, Minor Complexity</t>
  </si>
  <si>
    <t>N12A</t>
  </si>
  <si>
    <t>Uterus and Adnexa Interventions for Malignancy, Major Complexity</t>
  </si>
  <si>
    <t>N12B</t>
  </si>
  <si>
    <t>Uterus and Adnexa Interventions for Malignancy, Intermediate Complexity</t>
  </si>
  <si>
    <t>N12C</t>
  </si>
  <si>
    <t>Uterus and Adnexa Interventions for Malignancy, Minor Complexity</t>
  </si>
  <si>
    <t>N60A</t>
  </si>
  <si>
    <t>Female Reproductive System Malignancy, Major Complexity</t>
  </si>
  <si>
    <t>N60B</t>
  </si>
  <si>
    <t>Female Reproductive System Malignancy, Minor Complexity</t>
  </si>
  <si>
    <t>N61A</t>
  </si>
  <si>
    <t>Female Reproductive System Infections, Major Complexity</t>
  </si>
  <si>
    <t>N61B</t>
  </si>
  <si>
    <t>Female Reproductive System Infections, Minor Complexity</t>
  </si>
  <si>
    <t>N62A</t>
  </si>
  <si>
    <t>Menstrual and Other Female Reproductive System Disorders, Major Complexity</t>
  </si>
  <si>
    <t>N62B</t>
  </si>
  <si>
    <t>Menstrual and Other Female Reproductive System Disorders, Minor Complexity</t>
  </si>
  <si>
    <t>O01A</t>
  </si>
  <si>
    <t>Caesarean Delivery, Major Complexity</t>
  </si>
  <si>
    <t>O01B</t>
  </si>
  <si>
    <t>Caesarean Delivery, Intermediate Complexity</t>
  </si>
  <si>
    <t>O01C</t>
  </si>
  <si>
    <t>Caesarean Delivery, Minor Complexity</t>
  </si>
  <si>
    <t>O02A</t>
  </si>
  <si>
    <t>Vaginal Delivery with GIs, Major Complexity</t>
  </si>
  <si>
    <t>O02B</t>
  </si>
  <si>
    <t>Vaginal Delivery with GIs, Minor Complexity</t>
  </si>
  <si>
    <t>O03Z</t>
  </si>
  <si>
    <t>Ectopic Pregnancy</t>
  </si>
  <si>
    <t>O04A</t>
  </si>
  <si>
    <t>Postpartum and Post Abortion with GIs, Major Complexity</t>
  </si>
  <si>
    <t>O04B</t>
  </si>
  <si>
    <t>Postpartum and Post Abortion with GIs, Minor Complexity</t>
  </si>
  <si>
    <t>O05Z</t>
  </si>
  <si>
    <t>Abortion with GIs</t>
  </si>
  <si>
    <t>O60A</t>
  </si>
  <si>
    <t>Vaginal Delivery, Major Complexity</t>
  </si>
  <si>
    <t>O60B</t>
  </si>
  <si>
    <t>Vaginal Delivery, Intermediate Complexity</t>
  </si>
  <si>
    <t>O60C</t>
  </si>
  <si>
    <t>Vaginal Delivery, Minor Complexity</t>
  </si>
  <si>
    <t>O61A</t>
  </si>
  <si>
    <t>Postpartum and Post Abortion without GIs, Major Complexity</t>
  </si>
  <si>
    <t>O61B</t>
  </si>
  <si>
    <t>Postpartum and Post Abortion without GIs, Minor Complexity</t>
  </si>
  <si>
    <t>O63A</t>
  </si>
  <si>
    <t>Abortion without GIs, Major Complexity</t>
  </si>
  <si>
    <t>O63B</t>
  </si>
  <si>
    <t>Abortion without GIs, Minor Complexity</t>
  </si>
  <si>
    <t>O66A</t>
  </si>
  <si>
    <t>Antenatal and Other Admissions related to Pregnancy, Childbirth and the Puerperium, Major Complexity</t>
  </si>
  <si>
    <t>O66B</t>
  </si>
  <si>
    <t>Antenatal and Other Admissions related to Pregnancy, Childbirth and the Puerperium, Intermediate Complexity</t>
  </si>
  <si>
    <t>O66C</t>
  </si>
  <si>
    <t>Antenatal and Other Admissions related to Pregnancy, Childbirth and the Puerperium, Minor Complexity</t>
  </si>
  <si>
    <t>P01Z</t>
  </si>
  <si>
    <t>Neonate with Significant GI or Ventilation &gt;= 96 Hours, Died or Transfer to Acute Facility &lt; 5 Days</t>
  </si>
  <si>
    <t>P02Z</t>
  </si>
  <si>
    <t>Cardiothoracic and Vascular Interventions for Neonates</t>
  </si>
  <si>
    <t>P03A</t>
  </si>
  <si>
    <t>Neonate, Admission Weight 1000-1499g with Significant GI or Ventilation &gt;= 96 Hours, Major Complexity</t>
  </si>
  <si>
    <t>P03B</t>
  </si>
  <si>
    <t>Neonate, Admission Weight 1000-1499g with Significant GI or Ventilation &gt;= 96 Hours, Minor Complexity</t>
  </si>
  <si>
    <t>P04A</t>
  </si>
  <si>
    <t>Neonate, Admission Weight 1500-1999g with Significant GI or Ventilation &gt;= 96 Hours, Major Complexity</t>
  </si>
  <si>
    <t>P04B</t>
  </si>
  <si>
    <t>Neonate, Admission Weight 1500-1999g with Significant GI or Ventilation &gt;= 96 Hours, Minor Complexity</t>
  </si>
  <si>
    <t>P05A</t>
  </si>
  <si>
    <t>Neonate, Admission Weight 2000-2499g with Significant GI or Ventilation &gt;= 96 Hours, Major Complexity</t>
  </si>
  <si>
    <t>P05B</t>
  </si>
  <si>
    <t>Neonate, Admission Weight 2000-2499g with Significant GI or Ventilation &gt;= 96 Hours, Minor Complexity</t>
  </si>
  <si>
    <t>P06A</t>
  </si>
  <si>
    <t>Neonate, Admission Weight &gt;= 2500g with Significant GI or Ventilation &gt;= 96 Hours, Major Complexity</t>
  </si>
  <si>
    <t>P06B</t>
  </si>
  <si>
    <t>Neonate, Admission Weight &gt;= 2500g with Significant GI or Ventilation &gt;= 96 Hours, Minor Complexity</t>
  </si>
  <si>
    <t>P07Z</t>
  </si>
  <si>
    <t>Neonate, Admission Weight &lt; 750g with Significant GI</t>
  </si>
  <si>
    <t>P08Z</t>
  </si>
  <si>
    <t>Neonate, Admission Weight 750-999g with Significant GI</t>
  </si>
  <si>
    <t>P60A</t>
  </si>
  <si>
    <t>Neonate without Significant GI or Ventilation &gt;= 96 Hours, Died or Transfer to Acute Facility &lt; 5 Days, Major Complexity</t>
  </si>
  <si>
    <t>P60B</t>
  </si>
  <si>
    <t>Neonate without Significant GI or Ventilation &gt;= 96 Hours, Died or Transfer to Acute Facility &lt; 5 Days, Minor Complexity</t>
  </si>
  <si>
    <t>P61Z</t>
  </si>
  <si>
    <t>Neonate, Admission Weight &lt; 750g without Significant GI</t>
  </si>
  <si>
    <t>P62A</t>
  </si>
  <si>
    <t>Neonate, Admission Weight 750-999g without Significant GI, Major Complexity</t>
  </si>
  <si>
    <t>P62B</t>
  </si>
  <si>
    <t>Neonate, Admission Weight 750-999g without Significant GI, Minor Complexity</t>
  </si>
  <si>
    <t>P63A</t>
  </si>
  <si>
    <t>Neonate, Admission Weight 1000-1249g without Significant GI or Ventilation &gt;= 96 Hours, Major Complexity</t>
  </si>
  <si>
    <t>P63B</t>
  </si>
  <si>
    <t>Neonate, Admission Weight 1000-1249g without Significant GI or Ventilation &gt;= 96 Hours, Minor Complexity</t>
  </si>
  <si>
    <t>P64A</t>
  </si>
  <si>
    <t>Neonate, Admission Weight 1250-1499g without Significant GI or Ventilation &gt;= 96 Hours, Major Complexity</t>
  </si>
  <si>
    <t>P64B</t>
  </si>
  <si>
    <t>Neonate, Admission Weight 1250-1499g without Significant GI or Ventilation &gt;= 96 Hours, Minor Complexity</t>
  </si>
  <si>
    <t>P65A</t>
  </si>
  <si>
    <t>Neonate, Admission Weight 1500-1999g without Significant GI or Ventilation &gt;= 96 Hours, Extreme Complexity</t>
  </si>
  <si>
    <t>P65B</t>
  </si>
  <si>
    <t>Neonate, Admission Weight 1500-1999g without Significant GI or Ventilation &gt;= 96 Hours, Major Complexity</t>
  </si>
  <si>
    <t>P65C</t>
  </si>
  <si>
    <t>Neonate, Admission Weight 1500-1999g without Significant GI or Ventilation &gt;= 96 Hours, Intermediate Complexity</t>
  </si>
  <si>
    <t>P65D</t>
  </si>
  <si>
    <t>Neonate, Admission Weight 1500-1999g without Significant GI or Ventilation &gt;= 96 Hours, Minor Complexity</t>
  </si>
  <si>
    <t>P66A</t>
  </si>
  <si>
    <t>Neonate, Admission Weight 2000-2499g without Significant GI or Ventilation &gt;= 96 Hours, Extreme Complexity</t>
  </si>
  <si>
    <t>P66B</t>
  </si>
  <si>
    <t>Neonate, Admission Weight 2000-2499g without Significant GI or Ventilation &gt;= 96 Hours, Major Complexity</t>
  </si>
  <si>
    <t>P66C</t>
  </si>
  <si>
    <t>Neonate, Admission Weight 2000-2499g without Significant GI or Ventilation &gt;= 96 Hours, Intermediate Complexity</t>
  </si>
  <si>
    <t>P66D</t>
  </si>
  <si>
    <t>Neonate, Admission Weight 2000-2499g without Significant GI or Ventilation &gt;= 96 Hours, Minor Complexity</t>
  </si>
  <si>
    <t>P67A</t>
  </si>
  <si>
    <t>Neonate, Admission Weight &gt;= 2500g without Significant GI or Ventilation &gt;= 96 Hours, &lt; 37 Complete Weeks Gestation, Extreme Complexity</t>
  </si>
  <si>
    <t>P67B</t>
  </si>
  <si>
    <t>Neonate, Admission Weight &gt;= 2500g without Significant GI or Ventilation &gt;= 96 Hours, &lt; 37 Complete Weeks Gestation, Major Complexity</t>
  </si>
  <si>
    <t>P67C</t>
  </si>
  <si>
    <t>Neonate, Admission Weight &gt;= 2500g without Significant GI or Ventilation &gt;= 96 Hours, &lt; 37 Complete Weeks Gestation, Intermediate Complexity</t>
  </si>
  <si>
    <t>P67D</t>
  </si>
  <si>
    <t>Neonate, Admission Weight &gt;= 2500g without Significant GI or Ventilation &gt;= 96 Hours, &lt; 37 Complete Weeks Gestation, Minor Complexity</t>
  </si>
  <si>
    <t>P68A</t>
  </si>
  <si>
    <t>Neonate, Admission Weight &gt;= 2500g without Significant GI or Ventilation &gt;= 96 Hours, &gt;= 37 Complete Weeks Gestation, Extreme Complexity</t>
  </si>
  <si>
    <t>P68B</t>
  </si>
  <si>
    <t>Neonate, Admission Weight &gt;= 2500g without Significant GI or Ventilation &gt;= 96 Hours, &gt;= 37 Complete Weeks Gestation, Major Complexity</t>
  </si>
  <si>
    <t>P68C</t>
  </si>
  <si>
    <t>Neonate, Admission Weight &gt;= 2500g without Significant GI or Ventilation &gt;= 96 Hours, &gt;= 37 Complete Weeks Gestation, Intermediate Complexity</t>
  </si>
  <si>
    <t>P68D</t>
  </si>
  <si>
    <t>Neonate, Admission Weight &gt;= 2500g without Significant GI or Ventilation &gt;= 96 Hours, &gt;= 37 Complete Weeks Gestation, Minor Complexity</t>
  </si>
  <si>
    <t>Q01Z</t>
  </si>
  <si>
    <t>Splenectomy</t>
  </si>
  <si>
    <t>Q02A</t>
  </si>
  <si>
    <t>Blood and Immune System Disorders with Other GIs, Major Complexity</t>
  </si>
  <si>
    <t>Q02B</t>
  </si>
  <si>
    <t>Blood and Immune System Disorders with Other GIs, Minor Complexity</t>
  </si>
  <si>
    <t>Q60A</t>
  </si>
  <si>
    <t>Reticuloendothelial and Immunity Disorders, Major Complexity</t>
  </si>
  <si>
    <t>Q60B</t>
  </si>
  <si>
    <t>Reticuloendothelial and Immunity Disorders, Minor Complexity</t>
  </si>
  <si>
    <t>Q61A</t>
  </si>
  <si>
    <t>Red Blood Cell Disorders, Major Complexity</t>
  </si>
  <si>
    <t>Q61B</t>
  </si>
  <si>
    <t>Red Blood Cell Disorders, Intermediate Complexity</t>
  </si>
  <si>
    <t>Q61C</t>
  </si>
  <si>
    <t>Red Blood Cell Disorders, Minor Complexity</t>
  </si>
  <si>
    <t>Q62A</t>
  </si>
  <si>
    <t>Coagulation Disorders, Major Complexity</t>
  </si>
  <si>
    <t>Q62B</t>
  </si>
  <si>
    <t>Coagulation Disorders, Minor Complexity</t>
  </si>
  <si>
    <t>R01A</t>
  </si>
  <si>
    <t>Lymphoma and Leukaemia with Major GIs, Major Complexity</t>
  </si>
  <si>
    <t>R01B</t>
  </si>
  <si>
    <t>Lymphoma and Leukaemia with Major GIs, Minor Complexity</t>
  </si>
  <si>
    <t>R02A</t>
  </si>
  <si>
    <t>Other Neoplastic Disorders with Major GIs, Major Complexity</t>
  </si>
  <si>
    <t>R02B</t>
  </si>
  <si>
    <t>Other Neoplastic Disorders with Major GIs, Intermediate Complexity</t>
  </si>
  <si>
    <t>R02C</t>
  </si>
  <si>
    <t>Other Neoplastic Disorders with Major GIs, Minor Complexity</t>
  </si>
  <si>
    <t>R03A</t>
  </si>
  <si>
    <t>Lymphoma and Leukaemia with Other GIs, Major Complexity</t>
  </si>
  <si>
    <t>R03B</t>
  </si>
  <si>
    <t>Lymphoma and Leukaemia with Other GIs, Intermediate Complexity</t>
  </si>
  <si>
    <t>R03C</t>
  </si>
  <si>
    <t>Lymphoma and Leukaemia with Other GIs, Minor Complexity</t>
  </si>
  <si>
    <t>R04A</t>
  </si>
  <si>
    <t>Other Neoplastic Disorders with Other GIs, Major Complexity</t>
  </si>
  <si>
    <t>R04B</t>
  </si>
  <si>
    <t>Other Neoplastic Disorders with Other GIs, Minor Complexity</t>
  </si>
  <si>
    <t>R05A</t>
  </si>
  <si>
    <t>Other Haematopoietic Stem Cell Transplantation, Age &lt;= 16 Years or Major Complexity</t>
  </si>
  <si>
    <t>R05B</t>
  </si>
  <si>
    <t>Other Haematopoietic Stem Cell Transplantation, Age &gt;= 17 Years and Minor Complexity</t>
  </si>
  <si>
    <t>R06A</t>
  </si>
  <si>
    <t>Autologous Haematopoietic Stem Cell Transplantation, Major Complexity</t>
  </si>
  <si>
    <t>R06B</t>
  </si>
  <si>
    <t>Autologous Haematopoietic Stem Cell Transplantation, Intermediate Complexity</t>
  </si>
  <si>
    <t>R06C</t>
  </si>
  <si>
    <t>Autologous Haematopoietic Stem Cell Transplantation, Minor Complexity</t>
  </si>
  <si>
    <t>R60A</t>
  </si>
  <si>
    <t>Acute Leukaemia, Major Complexity</t>
  </si>
  <si>
    <t>R60B</t>
  </si>
  <si>
    <t>Acute Leukaemia, Intermediate Complexity</t>
  </si>
  <si>
    <t>R60C</t>
  </si>
  <si>
    <t>Acute Leukaemia, Minor Complexity</t>
  </si>
  <si>
    <t>R61A</t>
  </si>
  <si>
    <t>Lymphoma and Non-Acute Leukaemia, Major Complexity</t>
  </si>
  <si>
    <t>R61B</t>
  </si>
  <si>
    <t>Lymphoma and Non-Acute Leukaemia, Intermediate Complexity</t>
  </si>
  <si>
    <t>R61C</t>
  </si>
  <si>
    <t>Lymphoma and Non-Acute Leukaemia, Minor Complexity</t>
  </si>
  <si>
    <t>R62A</t>
  </si>
  <si>
    <t>Other Neoplastic Disorders, Major Complexity</t>
  </si>
  <si>
    <t>R62B</t>
  </si>
  <si>
    <t>Other Neoplastic Disorders, Intermediate Complexity</t>
  </si>
  <si>
    <t>R62C</t>
  </si>
  <si>
    <t>Other Neoplastic Disorders, Minor Complexity</t>
  </si>
  <si>
    <t>R63Z</t>
  </si>
  <si>
    <t>Pharmacotherapy for Neoplastic Disorders</t>
  </si>
  <si>
    <t>T01A</t>
  </si>
  <si>
    <t>Infectious and Parasitic Diseases with GIs, Major Complexity</t>
  </si>
  <si>
    <t>T01B</t>
  </si>
  <si>
    <t>Infectious and Parasitic Diseases with GIs, Intermediate Complexity</t>
  </si>
  <si>
    <t>T01C</t>
  </si>
  <si>
    <t>Infectious and Parasitic Diseases with GIs, Minor Complexity</t>
  </si>
  <si>
    <t>T40Z</t>
  </si>
  <si>
    <t>Infectious and Parasitic Diseases with Ventilator Support</t>
  </si>
  <si>
    <t>T60A</t>
  </si>
  <si>
    <t>Sepsis, Septic Shock and Systemic Infection, Major Complexity</t>
  </si>
  <si>
    <t>T60B</t>
  </si>
  <si>
    <t>Sepsis, Septic Shock and Systemic Infection, Intermediate Complexity</t>
  </si>
  <si>
    <t>T60C</t>
  </si>
  <si>
    <t>Sepsis, Septic Shock and Systemic Infection, Minor Complexity</t>
  </si>
  <si>
    <t>T61A</t>
  </si>
  <si>
    <t>Postoperative Infections, Major Complexity</t>
  </si>
  <si>
    <t>T61B</t>
  </si>
  <si>
    <t>Postoperative Infections, Minor Complexity</t>
  </si>
  <si>
    <t>T62A</t>
  </si>
  <si>
    <t>Fever of Unknown Origin, Major Complexity</t>
  </si>
  <si>
    <t>T62B</t>
  </si>
  <si>
    <t>Fever of Unknown Origin, Minor Complexity</t>
  </si>
  <si>
    <t>T63A</t>
  </si>
  <si>
    <t>Viral Illnesses, Major Complexity</t>
  </si>
  <si>
    <t>T63B</t>
  </si>
  <si>
    <t>Viral Illnesses, Minor Complexity</t>
  </si>
  <si>
    <t>T64A</t>
  </si>
  <si>
    <t>Other Infectious and Parasitic Diseases, Major Complexity</t>
  </si>
  <si>
    <t>T64B</t>
  </si>
  <si>
    <t>Other Infectious and Parasitic Diseases, Intermediate Complexity</t>
  </si>
  <si>
    <t>T64C</t>
  </si>
  <si>
    <t>Other Infectious and Parasitic Diseases, Minor Complexity</t>
  </si>
  <si>
    <t>U40Z</t>
  </si>
  <si>
    <t>Mental Health Treatment with ECT, Sameday</t>
  </si>
  <si>
    <t>U60Z</t>
  </si>
  <si>
    <t>Mental Health Treatment without ECT, Sameday</t>
  </si>
  <si>
    <t>U61A</t>
  </si>
  <si>
    <t>Schizophrenia Disorders, Major Complexity</t>
  </si>
  <si>
    <t>U61B</t>
  </si>
  <si>
    <t>Schizophrenia Disorders, Minor Complexity</t>
  </si>
  <si>
    <t>U62A</t>
  </si>
  <si>
    <t>Paranoia and Acute Psychotic Disorders, Major Complexity</t>
  </si>
  <si>
    <t>U62B</t>
  </si>
  <si>
    <t>Paranoia and Acute Psychotic Disorders, Minor Complexity</t>
  </si>
  <si>
    <t>U63A</t>
  </si>
  <si>
    <t>Major Affective Disorders, Major Complexity</t>
  </si>
  <si>
    <t>U63B</t>
  </si>
  <si>
    <t>Major Affective Disorders, Minor Complexity</t>
  </si>
  <si>
    <t>U64A</t>
  </si>
  <si>
    <t>Other Affective and Somatoform Disorders, Major Complexity</t>
  </si>
  <si>
    <t>U64B</t>
  </si>
  <si>
    <t>Other Affective and Somatoform Disorders, Minor Complexity</t>
  </si>
  <si>
    <t>U65A</t>
  </si>
  <si>
    <t>Anxiety Disorders, Major Complexity</t>
  </si>
  <si>
    <t>U65B</t>
  </si>
  <si>
    <t>Anxiety Disorders, Minor Complexity</t>
  </si>
  <si>
    <t>U66A</t>
  </si>
  <si>
    <t>Eating and Obsessive-Compulsive Disorders, Major Complexity</t>
  </si>
  <si>
    <t>U66B</t>
  </si>
  <si>
    <t>Eating and Obsessive-Compulsive Disorders, Minor Complexity</t>
  </si>
  <si>
    <t>U67A</t>
  </si>
  <si>
    <t>Personality Disorders and Acute Reactions, Major Complexity</t>
  </si>
  <si>
    <t>U67B</t>
  </si>
  <si>
    <t>Personality Disorders and Acute Reactions, Minor Complexity</t>
  </si>
  <si>
    <t>U68A</t>
  </si>
  <si>
    <t>Neurodevelopmental Disorders and Symbolic Dysfunctions, Major Complexity</t>
  </si>
  <si>
    <t>U68B</t>
  </si>
  <si>
    <t>Neurodevelopmental Disorders and Symbolic Dysfunctions, Minor Complexity</t>
  </si>
  <si>
    <t>V60A</t>
  </si>
  <si>
    <t>Alcohol Intoxication and Withdrawal, Major Complexity</t>
  </si>
  <si>
    <t>V60B</t>
  </si>
  <si>
    <t>Alcohol Intoxication and Withdrawal, Minor Complexity</t>
  </si>
  <si>
    <t>V61A</t>
  </si>
  <si>
    <t>Drug Intoxication and Withdrawal, Major Complexity</t>
  </si>
  <si>
    <t>V61B</t>
  </si>
  <si>
    <t>Drug Intoxication and Withdrawal, Minor Complexity</t>
  </si>
  <si>
    <t>V62A</t>
  </si>
  <si>
    <t>Alcohol Use and Dependence, Major Complexity</t>
  </si>
  <si>
    <t>V62B</t>
  </si>
  <si>
    <t>Alcohol Use and Dependence, Minor Complexity</t>
  </si>
  <si>
    <t>V63Z</t>
  </si>
  <si>
    <t>Opioid Use and Dependence</t>
  </si>
  <si>
    <t>V64A</t>
  </si>
  <si>
    <t>Other Drug Use and Dependence, Major Complexity</t>
  </si>
  <si>
    <t>V64B</t>
  </si>
  <si>
    <t>Other Drug Use and Dependence, Minor Complexity</t>
  </si>
  <si>
    <t>W01A</t>
  </si>
  <si>
    <t>Ventilation, Tracheostomy and Cranial Interventions for Multiple Significant Trauma, Major Complexity</t>
  </si>
  <si>
    <t>W01B</t>
  </si>
  <si>
    <t>Ventilation, Tracheostomy and Cranial Interventions for Multiple Significant Trauma, Intermediate Complexity</t>
  </si>
  <si>
    <t>W01C</t>
  </si>
  <si>
    <t>Ventilation, Tracheostomy and Cranial Interventions for Multiple Significant Trauma, Minor Complexity</t>
  </si>
  <si>
    <t>W02A</t>
  </si>
  <si>
    <t>Hip, Femur and Lower Limb Interventions for Multiple Significant Trauma, Major Complexity</t>
  </si>
  <si>
    <t>W02B</t>
  </si>
  <si>
    <t>Hip, Femur and Lower Limb Interventions for Multiple Significant Trauma, Minor Complexity</t>
  </si>
  <si>
    <t>W03Z</t>
  </si>
  <si>
    <t>Abdominal Interventions for Multiple Significant Trauma</t>
  </si>
  <si>
    <t>W04A</t>
  </si>
  <si>
    <t>Multiple Significant Trauma with Other GIs, Major Complexity</t>
  </si>
  <si>
    <t>W04B</t>
  </si>
  <si>
    <t>Multiple Significant Trauma with Other GIs, Minor Complexity</t>
  </si>
  <si>
    <t>W60Z</t>
  </si>
  <si>
    <t>Multiple Significant Trauma, Transferred to Acute Facility &lt; 5 Days</t>
  </si>
  <si>
    <t>W61A</t>
  </si>
  <si>
    <t>Multiple Significant Trauma without GIs, Major Complexity</t>
  </si>
  <si>
    <t>W61B</t>
  </si>
  <si>
    <t>Multiple Significant Trauma without GIs, Minor Complexity</t>
  </si>
  <si>
    <t>X02A</t>
  </si>
  <si>
    <t>Microvascular Tissue Transfer and Skin Grafts for Injuries to Hand, Major Complexity</t>
  </si>
  <si>
    <t>X02B</t>
  </si>
  <si>
    <t>Microvascular Tissue Transfer and Skin Grafts for Injuries to Hand, Minor Complexity</t>
  </si>
  <si>
    <t>X04A</t>
  </si>
  <si>
    <t>Other Interventions for Injuries to Lower Limb, Major Complexity</t>
  </si>
  <si>
    <t>X04B</t>
  </si>
  <si>
    <t>Other Interventions for Injuries to Lower Limb, Minor Complexity</t>
  </si>
  <si>
    <t>X05A</t>
  </si>
  <si>
    <t>Other Interventions for Injuries to Hand, Major Complexity</t>
  </si>
  <si>
    <t>X05B</t>
  </si>
  <si>
    <t>Other Interventions for Injuries to Hand, Minor Complexity</t>
  </si>
  <si>
    <t>X06A</t>
  </si>
  <si>
    <t>Other Interventions for Other Injuries, Major Complexity</t>
  </si>
  <si>
    <t>X06B</t>
  </si>
  <si>
    <t>Other Interventions for Other Injuries, Intermediate Complexity</t>
  </si>
  <si>
    <t>X06C</t>
  </si>
  <si>
    <t>Other Interventions for Other Injuries, Minor Complexity</t>
  </si>
  <si>
    <t>X07A</t>
  </si>
  <si>
    <t>Skin Grafts for Injuries Excluding Hand, Major Complexity</t>
  </si>
  <si>
    <t>X07B</t>
  </si>
  <si>
    <t>Skin Grafts for Injuries Excluding Hand, Intermediate Complexity</t>
  </si>
  <si>
    <t>X07C</t>
  </si>
  <si>
    <t>Skin Grafts for Injuries Excluding Hand, Minor Complexity</t>
  </si>
  <si>
    <t>X40A</t>
  </si>
  <si>
    <t>Injuries, Poisoning and Toxic Effects of Drugs with Ventilator Support, Major Complexity</t>
  </si>
  <si>
    <t>X40B</t>
  </si>
  <si>
    <t>Injuries, Poisoning and Toxic Effects of Drugs with Ventilator Support, Minor Complexity</t>
  </si>
  <si>
    <t>X60A</t>
  </si>
  <si>
    <t>Injuries, Major Complexity</t>
  </si>
  <si>
    <t>X60B</t>
  </si>
  <si>
    <t>Injuries, Minor Complexity</t>
  </si>
  <si>
    <t>X61A</t>
  </si>
  <si>
    <t>Allergic Reactions, Major Complexity</t>
  </si>
  <si>
    <t>X61B</t>
  </si>
  <si>
    <t>Allergic Reactions, Minor Complexity</t>
  </si>
  <si>
    <t>X62A</t>
  </si>
  <si>
    <t>Poisoning/Toxic Effects of Drugs and Other Substances, Major Complexity</t>
  </si>
  <si>
    <t>X62B</t>
  </si>
  <si>
    <t>Poisoning/Toxic Effects of Drugs and Other Substances, Minor Complexity</t>
  </si>
  <si>
    <t>X63A</t>
  </si>
  <si>
    <t>Sequelae of Treatment, Major Complexity</t>
  </si>
  <si>
    <t>X63B</t>
  </si>
  <si>
    <t>Sequelae of Treatment, Minor Complexity</t>
  </si>
  <si>
    <t>X64A</t>
  </si>
  <si>
    <t>Other Injuries, Poisonings and Toxic Effects, Major Complexity</t>
  </si>
  <si>
    <t>X64B</t>
  </si>
  <si>
    <t>Other Injuries, Poisonings and Toxic Effects, Intermediate Complexity</t>
  </si>
  <si>
    <t>X64C</t>
  </si>
  <si>
    <t>Other Injuries, Poisonings and Toxic Effects, Minor Complexity</t>
  </si>
  <si>
    <t>Y01Z</t>
  </si>
  <si>
    <t>Ventilation &gt;= 96 Hours or Tracheostomy for Burns or GI for Severe Full Thickness Burns</t>
  </si>
  <si>
    <t>Y02A</t>
  </si>
  <si>
    <t>Skin Grafts for Other Burns, Major Complexity</t>
  </si>
  <si>
    <t>Y02B</t>
  </si>
  <si>
    <t>Skin Grafts for Other Burns, Intermediate Complexity</t>
  </si>
  <si>
    <t>Y02C</t>
  </si>
  <si>
    <t>Skin Grafts for Other Burns, Minor Complexity</t>
  </si>
  <si>
    <t>Y03A</t>
  </si>
  <si>
    <t>Other GIs for Other Burns, Major Complexity</t>
  </si>
  <si>
    <t>Y03B</t>
  </si>
  <si>
    <t>Other GIs for Other Burns, Minor Complexity</t>
  </si>
  <si>
    <t>Y60Z</t>
  </si>
  <si>
    <t>Burns, Transferred to Acute Facility &lt; 5 Days</t>
  </si>
  <si>
    <t>Y61Z</t>
  </si>
  <si>
    <t>Severe Burns</t>
  </si>
  <si>
    <t>Y62A</t>
  </si>
  <si>
    <t>Other Burns, Major Complexity</t>
  </si>
  <si>
    <t>Y62B</t>
  </si>
  <si>
    <t>Other Burns, Minor Complexity</t>
  </si>
  <si>
    <t>Z01A</t>
  </si>
  <si>
    <t>Other Contacts with Health Services with GIs, Major Complexity</t>
  </si>
  <si>
    <t>Z01B</t>
  </si>
  <si>
    <t>Other Contacts with Health Services with GIs, Minor Complexity</t>
  </si>
  <si>
    <t>Z40Z</t>
  </si>
  <si>
    <t>Other Contacts with Health Services with Endoscopy</t>
  </si>
  <si>
    <t>Z61A</t>
  </si>
  <si>
    <t>Signs and Symptoms, Major Complexity</t>
  </si>
  <si>
    <t>Z61B</t>
  </si>
  <si>
    <t>Signs and Symptoms, Minor Complexity</t>
  </si>
  <si>
    <t>Z63A</t>
  </si>
  <si>
    <t>Other Follow Up After Surgery or Medical Care, Major Complexity</t>
  </si>
  <si>
    <t>Z63B</t>
  </si>
  <si>
    <t>Other Follow Up After Surgery or Medical Care, Minor Complexity</t>
  </si>
  <si>
    <t>Z64A</t>
  </si>
  <si>
    <t>Other Factors Influencing Health Status, Major Complexity</t>
  </si>
  <si>
    <t>Z64B</t>
  </si>
  <si>
    <t>Other Factors Influencing Health Status, Minor Complexity</t>
  </si>
  <si>
    <t>Z65Z</t>
  </si>
  <si>
    <t>Congenital Malformations, Chromosomal Abnormalities and Problems Arising in the Neonatal Period</t>
  </si>
  <si>
    <t>Z66Z</t>
  </si>
  <si>
    <t>Sleep Disorders</t>
  </si>
  <si>
    <t>E0001Z</t>
  </si>
  <si>
    <t>Not attended by a healthcare professional</t>
  </si>
  <si>
    <t>E0002Z</t>
  </si>
  <si>
    <t>Planned return visit</t>
  </si>
  <si>
    <t>E0003Z</t>
  </si>
  <si>
    <t>Dead on arrival</t>
  </si>
  <si>
    <t>E0110A</t>
  </si>
  <si>
    <t>Dementia and other chronic brain syndromes Complexity level A</t>
  </si>
  <si>
    <t>E0110B</t>
  </si>
  <si>
    <t>Dementia and other chronic brain syndromes Complexity level B</t>
  </si>
  <si>
    <t>E0120A</t>
  </si>
  <si>
    <t>Delirium Complexity level A</t>
  </si>
  <si>
    <t>E0120B</t>
  </si>
  <si>
    <t>Delirium Complexity level B</t>
  </si>
  <si>
    <t>E0130A</t>
  </si>
  <si>
    <t>Stroke and other cerebrovascular disorders Complexity level A</t>
  </si>
  <si>
    <t>E0130B</t>
  </si>
  <si>
    <t>Stroke and other cerebrovascular disorders Complexity level B</t>
  </si>
  <si>
    <t>E0140Z</t>
  </si>
  <si>
    <t>TIA and precerebral occlusion</t>
  </si>
  <si>
    <t>E0150A</t>
  </si>
  <si>
    <t>Seizures Complexity level A</t>
  </si>
  <si>
    <t>E0150B</t>
  </si>
  <si>
    <t>Seizures Complexity level B</t>
  </si>
  <si>
    <t>E0150C</t>
  </si>
  <si>
    <t>Seizures Complexity level C</t>
  </si>
  <si>
    <t>E0160A</t>
  </si>
  <si>
    <t>Convulsions Complexity level A</t>
  </si>
  <si>
    <t>E0160B</t>
  </si>
  <si>
    <t>Convulsions Complexity level B</t>
  </si>
  <si>
    <t>E0170A</t>
  </si>
  <si>
    <t>Headaches Complexity level A</t>
  </si>
  <si>
    <t>E0170B</t>
  </si>
  <si>
    <t>Headaches Complexity level B</t>
  </si>
  <si>
    <t>E0190A</t>
  </si>
  <si>
    <t>Nervous system and neurological disorders Complexity level A</t>
  </si>
  <si>
    <t>E0190B</t>
  </si>
  <si>
    <t>Nervous system and neurological disorders Complexity level B</t>
  </si>
  <si>
    <t>E0190C</t>
  </si>
  <si>
    <t>Nervous system and neurological disorders Complexity level C</t>
  </si>
  <si>
    <t>E0290A</t>
  </si>
  <si>
    <t>Eye disorders Complexity level A</t>
  </si>
  <si>
    <t>E0290B</t>
  </si>
  <si>
    <t>Eye disorders Complexity level B</t>
  </si>
  <si>
    <t>E0290C</t>
  </si>
  <si>
    <t>Eye disorders Complexity level C</t>
  </si>
  <si>
    <t>E0310A</t>
  </si>
  <si>
    <t>Ear, nose, mouth and throat disorders Complexity level A</t>
  </si>
  <si>
    <t>E0310B</t>
  </si>
  <si>
    <t>Ear, nose, mouth and throat disorders Complexity level B</t>
  </si>
  <si>
    <t>E0310C</t>
  </si>
  <si>
    <t>Ear, nose, mouth and throat disorders Complexity level C</t>
  </si>
  <si>
    <t>E0320A</t>
  </si>
  <si>
    <t>Disorders of the teeth and supporting structures Complexity level A</t>
  </si>
  <si>
    <t>E0320B</t>
  </si>
  <si>
    <t>Disorders of the teeth and supporting structures Complexity level B</t>
  </si>
  <si>
    <t>E0320C</t>
  </si>
  <si>
    <t>Disorders of the teeth and supporting structures Complexity level C</t>
  </si>
  <si>
    <t>E0410A</t>
  </si>
  <si>
    <t>Major respiratory conditions Complexity level A</t>
  </si>
  <si>
    <t>E0410B</t>
  </si>
  <si>
    <t>Major respiratory conditions Complexity level B</t>
  </si>
  <si>
    <t>E0410C</t>
  </si>
  <si>
    <t>Major respiratory conditions Complexity level C</t>
  </si>
  <si>
    <t>E0420A</t>
  </si>
  <si>
    <t>Chronic obstructive airways disease Complexity level A</t>
  </si>
  <si>
    <t>E0420B</t>
  </si>
  <si>
    <t>Chronic obstructive airways disease Complexity level B</t>
  </si>
  <si>
    <t>E0420C</t>
  </si>
  <si>
    <t>Chronic obstructive airways disease Complexity level C</t>
  </si>
  <si>
    <t>E0430A</t>
  </si>
  <si>
    <t>Asthma Complexity level A</t>
  </si>
  <si>
    <t>E0430B</t>
  </si>
  <si>
    <t>Asthma Complexity level B</t>
  </si>
  <si>
    <t>E0430C</t>
  </si>
  <si>
    <t>Asthma Complexity level C</t>
  </si>
  <si>
    <t>E0440A</t>
  </si>
  <si>
    <t>Upper respiratory tract infections Complexity level A</t>
  </si>
  <si>
    <t>E0440B</t>
  </si>
  <si>
    <t>Upper respiratory tract infections Complexity level B</t>
  </si>
  <si>
    <t>E0450A</t>
  </si>
  <si>
    <t>Lower respiratory tract infections Complexity level A</t>
  </si>
  <si>
    <t>E0450B</t>
  </si>
  <si>
    <t>Lower respiratory tract infections Complexity level B</t>
  </si>
  <si>
    <t>E0450C</t>
  </si>
  <si>
    <t>Lower respiratory tract infections Complexity level C</t>
  </si>
  <si>
    <t>E0490A</t>
  </si>
  <si>
    <t>Respiratory disorders, other Complexity level A</t>
  </si>
  <si>
    <t>E0490B</t>
  </si>
  <si>
    <t>Respiratory disorders, other Complexity level B</t>
  </si>
  <si>
    <t>E0490C</t>
  </si>
  <si>
    <t>Respiratory disorders, other Complexity level C</t>
  </si>
  <si>
    <t>E0490D</t>
  </si>
  <si>
    <t>Respiratory disorders, other Complexity level D</t>
  </si>
  <si>
    <t>E0510Z</t>
  </si>
  <si>
    <t>Acute coronary syndromes</t>
  </si>
  <si>
    <t>E0520A</t>
  </si>
  <si>
    <t>Arrhythmia and cardiac arrest Complexity level A</t>
  </si>
  <si>
    <t>E0520B</t>
  </si>
  <si>
    <t>Arrhythmia and cardiac arrest Complexity level B</t>
  </si>
  <si>
    <t>E0530A</t>
  </si>
  <si>
    <t>Heart failure and shock Complexity level A</t>
  </si>
  <si>
    <t>E0530B</t>
  </si>
  <si>
    <t>Heart failure and shock Complexity level B</t>
  </si>
  <si>
    <t>E0540A</t>
  </si>
  <si>
    <t>Chest pain Complexity level A</t>
  </si>
  <si>
    <t>E0540B</t>
  </si>
  <si>
    <t>Chest pain Complexity level B</t>
  </si>
  <si>
    <t>E0540C</t>
  </si>
  <si>
    <t>Chest pain Complexity level C</t>
  </si>
  <si>
    <t>E0590A</t>
  </si>
  <si>
    <t>Circulatory disorders, other Complexity level A</t>
  </si>
  <si>
    <t>E0590B</t>
  </si>
  <si>
    <t>Circulatory disorders, other Complexity level B</t>
  </si>
  <si>
    <t>E0590C</t>
  </si>
  <si>
    <t>Circulatory disorders, other Complexity level C</t>
  </si>
  <si>
    <t>E0610A</t>
  </si>
  <si>
    <t>Gastrointestinal haemorrhage Complexity level A</t>
  </si>
  <si>
    <t>E0610B</t>
  </si>
  <si>
    <t>Gastrointestinal haemorrhage Complexity level B</t>
  </si>
  <si>
    <t>E0620Z</t>
  </si>
  <si>
    <t>Gastrointestinal obstruction</t>
  </si>
  <si>
    <t>E0630A</t>
  </si>
  <si>
    <t>Peritonitis and gastrointestinal perforation Complexity level A</t>
  </si>
  <si>
    <t>E0630B</t>
  </si>
  <si>
    <t>Peritonitis and gastrointestinal perforation Complexity level B</t>
  </si>
  <si>
    <t>E0640A</t>
  </si>
  <si>
    <t>Oesophagitis and gastroenteritis Complexity level A</t>
  </si>
  <si>
    <t>E0640B</t>
  </si>
  <si>
    <t>Oesophagitis and gastroenteritis Complexity level B</t>
  </si>
  <si>
    <t>E0640C</t>
  </si>
  <si>
    <t>Oesophagitis and gastroenteritis Complexity level C</t>
  </si>
  <si>
    <t>E0650A</t>
  </si>
  <si>
    <t>Abdominal pain Complexity level A</t>
  </si>
  <si>
    <t>E0650B</t>
  </si>
  <si>
    <t>Abdominal pain Complexity level B</t>
  </si>
  <si>
    <t>E0650C</t>
  </si>
  <si>
    <t>Abdominal pain Complexity level C</t>
  </si>
  <si>
    <t>E0690A</t>
  </si>
  <si>
    <t>Digestive system disorders, other Complexity level A</t>
  </si>
  <si>
    <t>E0690B</t>
  </si>
  <si>
    <t>Digestive system disorders, other Complexity level B</t>
  </si>
  <si>
    <t>E0690C</t>
  </si>
  <si>
    <t>Digestive system disorders, other Complexity level C</t>
  </si>
  <si>
    <t>E0690D</t>
  </si>
  <si>
    <t>Digestive system disorders, other Complexity level D</t>
  </si>
  <si>
    <t>E0710A</t>
  </si>
  <si>
    <t>Liver disorders Complexity level A</t>
  </si>
  <si>
    <t>E0710B</t>
  </si>
  <si>
    <t>Liver disorders Complexity level B</t>
  </si>
  <si>
    <t>E0720A</t>
  </si>
  <si>
    <t>Gall bladder, bile duct and pancreas disorders Complexity level A</t>
  </si>
  <si>
    <t>E0720B</t>
  </si>
  <si>
    <t>Gall bladder, bile duct and pancreas disorders Complexity level B</t>
  </si>
  <si>
    <t>E0720C</t>
  </si>
  <si>
    <t>Gall bladder, bile duct and pancreas disorders Complexity level C</t>
  </si>
  <si>
    <t>E0890A</t>
  </si>
  <si>
    <t>Musculoskeletal and musculotendinous disorders Complexity level A</t>
  </si>
  <si>
    <t>E0890B</t>
  </si>
  <si>
    <t>Musculoskeletal and musculotendinous disorders Complexity level B</t>
  </si>
  <si>
    <t>E0890C</t>
  </si>
  <si>
    <t>Musculoskeletal and musculotendinous disorders Complexity level C</t>
  </si>
  <si>
    <t>E0890D</t>
  </si>
  <si>
    <t>Musculoskeletal and musculotendinous disorders Complexity level D</t>
  </si>
  <si>
    <t>E0910A</t>
  </si>
  <si>
    <t>Skin and subcutaneous tissue infections Complexity level A</t>
  </si>
  <si>
    <t>E0910B</t>
  </si>
  <si>
    <t>Skin and subcutaneous tissue infections Complexity level B</t>
  </si>
  <si>
    <t>E0910C</t>
  </si>
  <si>
    <t>Skin and subcutaneous tissue infections Complexity level C</t>
  </si>
  <si>
    <t>E0990A</t>
  </si>
  <si>
    <t>Skin disorders, other Complexity level A</t>
  </si>
  <si>
    <t>E0990B</t>
  </si>
  <si>
    <t>Skin disorders, other Complexity level B</t>
  </si>
  <si>
    <t>E0990C</t>
  </si>
  <si>
    <t>Skin disorders, other Complexity level C</t>
  </si>
  <si>
    <t>E1010A</t>
  </si>
  <si>
    <t>Diabetes Complexity level A</t>
  </si>
  <si>
    <t>E1010B</t>
  </si>
  <si>
    <t>Diabetes Complexity level B</t>
  </si>
  <si>
    <t>E1010C</t>
  </si>
  <si>
    <t>Diabetes Complexity level C</t>
  </si>
  <si>
    <t>E1090A</t>
  </si>
  <si>
    <t>Metabolic and nutritional disorders, other Complexity level A</t>
  </si>
  <si>
    <t>E1090B</t>
  </si>
  <si>
    <t>Metabolic and nutritional disorders, other Complexity level B</t>
  </si>
  <si>
    <t>E1090C</t>
  </si>
  <si>
    <t>Metabolic and nutritional disorders, other Complexity level C</t>
  </si>
  <si>
    <t>E1110A</t>
  </si>
  <si>
    <t>Kidney failure Complexity level A</t>
  </si>
  <si>
    <t>E1110B</t>
  </si>
  <si>
    <t>Kidney failure Complexity level B</t>
  </si>
  <si>
    <t>E1110C</t>
  </si>
  <si>
    <t>Kidney failure Complexity level C</t>
  </si>
  <si>
    <t>E1120A</t>
  </si>
  <si>
    <t>Urinary stones and obstruction Complexity level A</t>
  </si>
  <si>
    <t>E1120B</t>
  </si>
  <si>
    <t>Urinary stones and obstruction Complexity level B</t>
  </si>
  <si>
    <t>E1130A</t>
  </si>
  <si>
    <t>Kidney and urinary tract infections Complexity level A</t>
  </si>
  <si>
    <t>E1130B</t>
  </si>
  <si>
    <t>Kidney and urinary tract infections Complexity level B</t>
  </si>
  <si>
    <t>E1130C</t>
  </si>
  <si>
    <t>Kidney and urinary tract infections Complexity level C</t>
  </si>
  <si>
    <t>E1190A</t>
  </si>
  <si>
    <t>Kidney and urinary tract disorders, other Complexity level A</t>
  </si>
  <si>
    <t>E1190B</t>
  </si>
  <si>
    <t>Kidney and urinary tract disorders, other Complexity level B</t>
  </si>
  <si>
    <t>E1290A</t>
  </si>
  <si>
    <t>Male genitourinary disorders Complexity level A</t>
  </si>
  <si>
    <t>E1290B</t>
  </si>
  <si>
    <t>Male genitourinary disorders Complexity level B</t>
  </si>
  <si>
    <t>E1390A</t>
  </si>
  <si>
    <t>Gynaecological disorders Complexity level A</t>
  </si>
  <si>
    <t>E1390B</t>
  </si>
  <si>
    <t>Gynaecological disorders Complexity level B</t>
  </si>
  <si>
    <t>E1410A</t>
  </si>
  <si>
    <t>Postpartum and post abortion conditions Complexity level A</t>
  </si>
  <si>
    <t>E1410B</t>
  </si>
  <si>
    <t>Postpartum and post abortion conditions Complexity level B</t>
  </si>
  <si>
    <t>E1420A</t>
  </si>
  <si>
    <t>Antenatal and other obstetric conditions Complexity level A</t>
  </si>
  <si>
    <t>E1420B</t>
  </si>
  <si>
    <t>Antenatal and other obstetric conditions Complexity level B</t>
  </si>
  <si>
    <t>E1590Z</t>
  </si>
  <si>
    <t>Perinatal disorder</t>
  </si>
  <si>
    <t>E1610A</t>
  </si>
  <si>
    <t>Immune system disorders Complexity level A</t>
  </si>
  <si>
    <t>E1610B</t>
  </si>
  <si>
    <t>Immune system disorders Complexity level B</t>
  </si>
  <si>
    <t>E1620Z</t>
  </si>
  <si>
    <t>Red blood cell disorders</t>
  </si>
  <si>
    <t>E1630A</t>
  </si>
  <si>
    <t>Haemostasis disorders Complexity level A</t>
  </si>
  <si>
    <t>E1630B</t>
  </si>
  <si>
    <t>Haemostasis disorders Complexity level B</t>
  </si>
  <si>
    <t>E1790A</t>
  </si>
  <si>
    <t>Neoplasms Complexity level A</t>
  </si>
  <si>
    <t>E1790B</t>
  </si>
  <si>
    <t>Neoplasms Complexity level B</t>
  </si>
  <si>
    <t>E1790C</t>
  </si>
  <si>
    <t>Neoplasms Complexity level C</t>
  </si>
  <si>
    <t>E1810Z</t>
  </si>
  <si>
    <t>Septicaemia</t>
  </si>
  <si>
    <t>E1820A</t>
  </si>
  <si>
    <t>Viral illnesses Complexity level A</t>
  </si>
  <si>
    <t>E1820B</t>
  </si>
  <si>
    <t>Viral illnesses Complexity level B</t>
  </si>
  <si>
    <t>E1820C</t>
  </si>
  <si>
    <t>Viral illnesses Complexity level C</t>
  </si>
  <si>
    <t>E1830A</t>
  </si>
  <si>
    <t>Fever of unknown origin Complexity level A</t>
  </si>
  <si>
    <t>E1830B</t>
  </si>
  <si>
    <t>Fever of unknown origin Complexity level B</t>
  </si>
  <si>
    <t>E1830C</t>
  </si>
  <si>
    <t>Fever of unknown origin Complexity level C</t>
  </si>
  <si>
    <t>E1890A</t>
  </si>
  <si>
    <t>Infectious and parasitic diseases, other Complexity level A</t>
  </si>
  <si>
    <t>E1890B</t>
  </si>
  <si>
    <t>Infectious and parasitic diseases, other Complexity level B</t>
  </si>
  <si>
    <t>E1910A</t>
  </si>
  <si>
    <t>Alcohol and drug related mental and behavioural disorders Complexity level A</t>
  </si>
  <si>
    <t>E1910B</t>
  </si>
  <si>
    <t>Alcohol and drug related mental and behavioural disorders Complexity level B</t>
  </si>
  <si>
    <t>E1910C</t>
  </si>
  <si>
    <t>Alcohol and drug related mental and behavioural disorders Complexity level C</t>
  </si>
  <si>
    <t>E1920A</t>
  </si>
  <si>
    <t>Psychoses Complexity level A</t>
  </si>
  <si>
    <t>E1920B</t>
  </si>
  <si>
    <t>Psychoses Complexity level B</t>
  </si>
  <si>
    <t>E1920C</t>
  </si>
  <si>
    <t>Psychoses Complexity level C</t>
  </si>
  <si>
    <t>E1990A</t>
  </si>
  <si>
    <t>Mental, behavioural and neurodevelopment disorders, other Complexity level A</t>
  </si>
  <si>
    <t>E1990B</t>
  </si>
  <si>
    <t>Mental, behavioural and neurodevelopment disorders, other Complexity level B</t>
  </si>
  <si>
    <t>E1990C</t>
  </si>
  <si>
    <t>Mental, behavioural and neurodevelopment disorders, other Complexity level C</t>
  </si>
  <si>
    <t>E2010A</t>
  </si>
  <si>
    <t>Head, intracranial, spine, internal organ and other complex injuries Complexity level A</t>
  </si>
  <si>
    <t>E2010B</t>
  </si>
  <si>
    <t>Head, intracranial, spine, internal organ and other complex injuries Complexity level B</t>
  </si>
  <si>
    <t>E2010C</t>
  </si>
  <si>
    <t>Head, intracranial, spine, internal organ and other complex injuries Complexity level C</t>
  </si>
  <si>
    <t>E2010D</t>
  </si>
  <si>
    <t>Head, intracranial, spine, internal organ and other complex injuries Complexity level D</t>
  </si>
  <si>
    <t>E2020A</t>
  </si>
  <si>
    <t>Pelvic and femoral fractures Complexity level A</t>
  </si>
  <si>
    <t>E2020B</t>
  </si>
  <si>
    <t>Pelvic and femoral fractures Complexity level B</t>
  </si>
  <si>
    <t>E2025A</t>
  </si>
  <si>
    <t>Fractures, dislocations and ligament injuries Complexity level A</t>
  </si>
  <si>
    <t>E2025B</t>
  </si>
  <si>
    <t>Fractures, dislocations and ligament injuries Complexity level B</t>
  </si>
  <si>
    <t>E2025C</t>
  </si>
  <si>
    <t>Fractures, dislocations and ligament injuries Complexity level C</t>
  </si>
  <si>
    <t>E2030A</t>
  </si>
  <si>
    <t>Injuries, other Complexity level A</t>
  </si>
  <si>
    <t>E2030B</t>
  </si>
  <si>
    <t>Injuries, other Complexity level B</t>
  </si>
  <si>
    <t>E2030C</t>
  </si>
  <si>
    <t>Injuries, other Complexity level C</t>
  </si>
  <si>
    <t>E2030D</t>
  </si>
  <si>
    <t>Injuries, other Complexity level D</t>
  </si>
  <si>
    <t>E2040A</t>
  </si>
  <si>
    <t>Finger, toe and superficial injuries Complexity level A</t>
  </si>
  <si>
    <t>E2040B</t>
  </si>
  <si>
    <t>Finger, toe and superficial injuries Complexity level B</t>
  </si>
  <si>
    <t>E2040C</t>
  </si>
  <si>
    <t>Finger, toe and superficial injuries Complexity level C</t>
  </si>
  <si>
    <t>E2050A</t>
  </si>
  <si>
    <t>Burns Complexity level A</t>
  </si>
  <si>
    <t>E2050B</t>
  </si>
  <si>
    <t>Burns Complexity level B</t>
  </si>
  <si>
    <t>E2050C</t>
  </si>
  <si>
    <t>Burns Complexity level C</t>
  </si>
  <si>
    <t>E2060A</t>
  </si>
  <si>
    <t>Poisoning Complexity level A</t>
  </si>
  <si>
    <t>E2060B</t>
  </si>
  <si>
    <t>Poisoning Complexity level B</t>
  </si>
  <si>
    <t>E2060C</t>
  </si>
  <si>
    <t>Poisoning Complexity level C</t>
  </si>
  <si>
    <t>E2070A</t>
  </si>
  <si>
    <t>Allergic reactions Complexity level A</t>
  </si>
  <si>
    <t>E2070B</t>
  </si>
  <si>
    <t>Allergic reactions Complexity level B</t>
  </si>
  <si>
    <t>E2080A</t>
  </si>
  <si>
    <t>Complications of surgical and medical care Complexity level A</t>
  </si>
  <si>
    <t>E2080B</t>
  </si>
  <si>
    <t>Complications of surgical and medical care Complexity level B</t>
  </si>
  <si>
    <t>E5010A</t>
  </si>
  <si>
    <t>Pain syndrome Complexity level A</t>
  </si>
  <si>
    <t>E5010B</t>
  </si>
  <si>
    <t>Pain syndrome Complexity level B</t>
  </si>
  <si>
    <t>E5090A</t>
  </si>
  <si>
    <t>Symptoms, other Complexity level A</t>
  </si>
  <si>
    <t>E5090B</t>
  </si>
  <si>
    <t>Symptoms, other Complexity level B</t>
  </si>
  <si>
    <t>E5090C</t>
  </si>
  <si>
    <t>Symptoms, other Complexity level C</t>
  </si>
  <si>
    <t>E6010A</t>
  </si>
  <si>
    <t>Forensic examination Complexity level A</t>
  </si>
  <si>
    <t>E6010B</t>
  </si>
  <si>
    <t>Forensic examination Complexity level B</t>
  </si>
  <si>
    <t>E6010C</t>
  </si>
  <si>
    <t>Forensic examination Complexity level C</t>
  </si>
  <si>
    <t>E6020A</t>
  </si>
  <si>
    <t>Abuse and neglect Complexity level A</t>
  </si>
  <si>
    <t>E6020B</t>
  </si>
  <si>
    <t>Abuse and neglect Complexity level B</t>
  </si>
  <si>
    <t>E6090A</t>
  </si>
  <si>
    <t>Other factors influencing health status Complexity level A</t>
  </si>
  <si>
    <t>E6090B</t>
  </si>
  <si>
    <t>Other factors influencing health status Complexity level B</t>
  </si>
  <si>
    <t>UDG01</t>
  </si>
  <si>
    <t>Adm_T1</t>
  </si>
  <si>
    <t>UDG02</t>
  </si>
  <si>
    <t>Adm_T2</t>
  </si>
  <si>
    <t>UDG03</t>
  </si>
  <si>
    <t>Adm_T3</t>
  </si>
  <si>
    <t>UDG04</t>
  </si>
  <si>
    <t>Adm_T4</t>
  </si>
  <si>
    <t>UDG05</t>
  </si>
  <si>
    <t>Adm_T5</t>
  </si>
  <si>
    <t>UDG06</t>
  </si>
  <si>
    <t>N-A_T1</t>
  </si>
  <si>
    <t>UDG07</t>
  </si>
  <si>
    <t>N-A_T2</t>
  </si>
  <si>
    <t>UDG08</t>
  </si>
  <si>
    <t>N-A_T3</t>
  </si>
  <si>
    <t>UDG09</t>
  </si>
  <si>
    <t>N-A_T4</t>
  </si>
  <si>
    <t>UDG10</t>
  </si>
  <si>
    <t>N-A_T5</t>
  </si>
  <si>
    <t>UDG11</t>
  </si>
  <si>
    <t>Did Not Wait</t>
  </si>
  <si>
    <t>UDG12</t>
  </si>
  <si>
    <t>Dead on Arrival w any Triage w any MDB</t>
  </si>
  <si>
    <t>UDG13</t>
  </si>
  <si>
    <t>Transfer presentation</t>
  </si>
  <si>
    <t>UDG14</t>
  </si>
  <si>
    <t>Died in emergency department</t>
  </si>
  <si>
    <t>UDG15</t>
  </si>
  <si>
    <t>Adm_Return visit, planned w any Triage</t>
  </si>
  <si>
    <t>UDG16</t>
  </si>
  <si>
    <t>N-A Return visit, planned – Triage 1, 2, 3</t>
  </si>
  <si>
    <t>UDG17</t>
  </si>
  <si>
    <t>N-A Return visit, planned – Triage 4,5</t>
  </si>
  <si>
    <t>5AZ1</t>
  </si>
  <si>
    <t>Rehabilitation</t>
  </si>
  <si>
    <t>Adult rehabilitation</t>
  </si>
  <si>
    <t>Weighted FIM Motor score 13-18, Brain, Spine, MMT, Burns, Age &gt;= 59</t>
  </si>
  <si>
    <t>5AZ2</t>
  </si>
  <si>
    <t>Weighted FIM Motor score 13-18, Brain, Spine, MMT, Burns, Age 18 - 58</t>
  </si>
  <si>
    <t>5AZ3</t>
  </si>
  <si>
    <t>Weighted FIM Motor score 13-18, All other impairments, Age &gt;= 79</t>
  </si>
  <si>
    <t>5AZ4</t>
  </si>
  <si>
    <t>Weighted FIM Motor score 13-18, All other impairments, Age 18 - 78</t>
  </si>
  <si>
    <t>5AA1</t>
  </si>
  <si>
    <t>Stroke, Weighted FIM Motor 63 - 91, FIM Cognition 30 - 35</t>
  </si>
  <si>
    <t>5AA2</t>
  </si>
  <si>
    <t>Stroke, Weighted FIM Motor 63 - 91, FIM Cognition 21 - 29</t>
  </si>
  <si>
    <t>5AA3</t>
  </si>
  <si>
    <t>Stroke, Weighted FIM Motor 63 - 91, FIM Cognition 5 - 20</t>
  </si>
  <si>
    <t>5AA4</t>
  </si>
  <si>
    <t>Stroke, Weighted FIM Motor 44 - 62, FIM Cognition 18 - 35</t>
  </si>
  <si>
    <t>5AA5</t>
  </si>
  <si>
    <t>Stroke, Weighted FIM Motor 44 - 62, FIM Cognition 5 - 17</t>
  </si>
  <si>
    <t>5AA6</t>
  </si>
  <si>
    <t>Stroke, Weighted FIM Motor 19 - 43, Age &gt;= 80</t>
  </si>
  <si>
    <t>5AA7</t>
  </si>
  <si>
    <t>Stroke, Weighted FIM Motor 19 - 43, Age 67 - 79</t>
  </si>
  <si>
    <t>5AA8</t>
  </si>
  <si>
    <t>Stroke, Weighted FIM Motor 19 - 43 Age 18 - 66</t>
  </si>
  <si>
    <t>5AB1</t>
  </si>
  <si>
    <t>Brain dysfunction, FIM Cognition 27 - 35 Weighted FIM Motor 59 - 91</t>
  </si>
  <si>
    <t>5AB2</t>
  </si>
  <si>
    <t>Brain dysfunction, FIM Cognition 27 - 35 Weighted FIM Motor 19 - 58</t>
  </si>
  <si>
    <t>5AB3</t>
  </si>
  <si>
    <t>Brain dysfunction, FIM Cognition 19 - 26 Weighted FIM Motor 50 - 91</t>
  </si>
  <si>
    <t>5AB4</t>
  </si>
  <si>
    <t>Brain dysfunction, FIM Cognition 19 - 26 Weighted FIM Motor 19 - 49</t>
  </si>
  <si>
    <t>5AB5</t>
  </si>
  <si>
    <t>Brain dysfunction, FIM Cognition 5 - 18 Weighted FIM Motor 39 - 91</t>
  </si>
  <si>
    <t>5AB6</t>
  </si>
  <si>
    <t>Brain dysfunction, FIM Cognition 5 - 18 Weighted FIM Motor 19 - 38</t>
  </si>
  <si>
    <t>5AC1</t>
  </si>
  <si>
    <t>Neurological conditions, Weighted FIM Motor 70 - 91</t>
  </si>
  <si>
    <t>5AC2</t>
  </si>
  <si>
    <t>Neurological conditions, Weighted FIM Motor 50 - 69</t>
  </si>
  <si>
    <t>5AC3</t>
  </si>
  <si>
    <t>Neurological conditions, Weighted FIM Motor 19 - 49</t>
  </si>
  <si>
    <t>5AD1</t>
  </si>
  <si>
    <t>Spinal cord dysfunction, Weighted FIM Motor 55 - 91</t>
  </si>
  <si>
    <t>5AD2</t>
  </si>
  <si>
    <t>Spinal cord dysfunction, Weighted FIM Motor 37 - 54</t>
  </si>
  <si>
    <t>5AD3</t>
  </si>
  <si>
    <t>Spinal cord dysfunction, Weighted FIM Motor 19 - 36</t>
  </si>
  <si>
    <t>5AE1</t>
  </si>
  <si>
    <t>Amputation of limb</t>
  </si>
  <si>
    <t>5AH1</t>
  </si>
  <si>
    <t>Orthopaedic conditions, fractures, Weighted FIM Motor 48 - 91, FIM Cognition 33 - 35</t>
  </si>
  <si>
    <t>5AH2</t>
  </si>
  <si>
    <t>Orthopaedic conditions, fractures, Weighted FIM Motor 48 - 91, FIM Cognition 21 - 32</t>
  </si>
  <si>
    <t>5AH3</t>
  </si>
  <si>
    <t>Orthopaedic conditions, fractures, Weighted FIM Motor 48 - 91, FIM Cognition 5 - 20</t>
  </si>
  <si>
    <t>5AH4</t>
  </si>
  <si>
    <t>Orthopaedic conditions, fractures, Weighted FIM Motor 19 - 47</t>
  </si>
  <si>
    <t>5A41</t>
  </si>
  <si>
    <t>Orthopaedic conditions, replacement (knee, hip, shoulder), Weighted FIM Motor 61 - 91</t>
  </si>
  <si>
    <t>5A42</t>
  </si>
  <si>
    <t>Orthopaedic conditions, replacement (knee, hip, shoulder), Weighted FIM Motor 45 - 60</t>
  </si>
  <si>
    <t>5A43</t>
  </si>
  <si>
    <t>Orthopaedic conditions, replacement (knee, hip, shoulder), Weighted FIM Motor 19 - 44</t>
  </si>
  <si>
    <t>5A21</t>
  </si>
  <si>
    <t>Orthopaedic conditions, all other, Weighted FIM Motor 57 - 91</t>
  </si>
  <si>
    <t>5A22</t>
  </si>
  <si>
    <t>Orthopaedic conditions, all other, Weighted FIM Motor 41 - 56</t>
  </si>
  <si>
    <t>5A23</t>
  </si>
  <si>
    <t>Orthopaedic conditions, all other, Weighted FIM Motor 19 - 40</t>
  </si>
  <si>
    <t>5A31</t>
  </si>
  <si>
    <t>Cardiac, Pain syndromes, and Pulmonary, Weighted FIM Motor 66 - 91</t>
  </si>
  <si>
    <t>5A32</t>
  </si>
  <si>
    <t>Cardiac, Pain syndromes, and Pulmonary, Weighted FIM Motor 38 - 65</t>
  </si>
  <si>
    <t>5A33</t>
  </si>
  <si>
    <t>Cardiac, Pain syndromes, and Pulmonary, Weighted FIM Motor 19 - 37</t>
  </si>
  <si>
    <t>5AP1</t>
  </si>
  <si>
    <t>Major Multiple Trauma, Weighted FIM Motor 51 - 91</t>
  </si>
  <si>
    <t>5AP2</t>
  </si>
  <si>
    <t>Major Multiple Trauma, Weighted FIM Motor 19 - 50</t>
  </si>
  <si>
    <t>5AR1</t>
  </si>
  <si>
    <t>Reconditioning, Weighted FIM Motor 64 - 91, FIM Cognition 29 - 35</t>
  </si>
  <si>
    <t>5AR2</t>
  </si>
  <si>
    <t>Reconditioning, Weighted FIM Motor 64 - 91, FIM Cognition 5 - 28</t>
  </si>
  <si>
    <t>5AR3</t>
  </si>
  <si>
    <t>Reconditioning, Weighted FIM Motor 48 - 63, FIM Cognition 19 - 35</t>
  </si>
  <si>
    <t>5AR4</t>
  </si>
  <si>
    <t>Reconditioning, Weighted FIM Motor 48 - 63, FIM Cognition 5 - 18</t>
  </si>
  <si>
    <t>5AR5</t>
  </si>
  <si>
    <t>Reconditioning, Weighted FIM Motor 19 - 47</t>
  </si>
  <si>
    <t>5A91</t>
  </si>
  <si>
    <t>All other impairments, Weighted FIM Motor 61 - 91</t>
  </si>
  <si>
    <t>5A92</t>
  </si>
  <si>
    <t>All other impairments, Weighted FIM Motor 42 - 60</t>
  </si>
  <si>
    <t>5A93</t>
  </si>
  <si>
    <t>All other impairments, Weighted FIM Motor 19 - 41</t>
  </si>
  <si>
    <t>5J01</t>
  </si>
  <si>
    <t>Adult Same-Day Rehabilitation</t>
  </si>
  <si>
    <t>5F01</t>
  </si>
  <si>
    <t>Paediatric rehabilitation</t>
  </si>
  <si>
    <t>Rehabilitation, Age &lt;= 3</t>
  </si>
  <si>
    <t>5F02</t>
  </si>
  <si>
    <t>Rehabilitation, Age &gt;= 4, Spinal cord dysfunction</t>
  </si>
  <si>
    <t>5F03</t>
  </si>
  <si>
    <t>Rehabilitation, Age &gt;= 4, Brain dysfunction</t>
  </si>
  <si>
    <t>5F04</t>
  </si>
  <si>
    <t>Rehabilitation, Age &gt;= 4, Neurological conditions</t>
  </si>
  <si>
    <t>5F05</t>
  </si>
  <si>
    <t>Rehabilitation, Age &gt;= 4, All other impairments</t>
  </si>
  <si>
    <t>5O01</t>
  </si>
  <si>
    <t>Paediatric Same-Day Rehabilitation</t>
  </si>
  <si>
    <t>5BS1</t>
  </si>
  <si>
    <t>Palliative Care</t>
  </si>
  <si>
    <t>Adult palliative care</t>
  </si>
  <si>
    <t>Stable phase, RUG-ADL 4-5</t>
  </si>
  <si>
    <t>5BS2</t>
  </si>
  <si>
    <t>Stable phase, RUG-ADL 6-16</t>
  </si>
  <si>
    <t>5BS3</t>
  </si>
  <si>
    <t>Stable phase, RUG-ADL 17-18</t>
  </si>
  <si>
    <t>5BU1</t>
  </si>
  <si>
    <t>Unstable phase, First Phase in Episode, RUG-ADL 4-13</t>
  </si>
  <si>
    <t>5BU2</t>
  </si>
  <si>
    <t>Unstable phase, First Phase in Episode, RUG-ADL 14-18</t>
  </si>
  <si>
    <t>5BU3</t>
  </si>
  <si>
    <t>Unstable phase, Not first Phase in Episode, RUG-ADL 4-5</t>
  </si>
  <si>
    <t>5BU4</t>
  </si>
  <si>
    <t>Unstable phase, Not first Phase in Episode, RUG-ADL 6-18</t>
  </si>
  <si>
    <t>5BD1</t>
  </si>
  <si>
    <t>Deteriorating phase, RUG-ADL 4-14</t>
  </si>
  <si>
    <t>5BD2</t>
  </si>
  <si>
    <t>Deteriorating phase, RUG-ADL 15-18, Age &gt;= 75</t>
  </si>
  <si>
    <t>5BD3</t>
  </si>
  <si>
    <t>Deteriorating phase, RUG-ADL 15-18, Age 55-74</t>
  </si>
  <si>
    <t>5BD4</t>
  </si>
  <si>
    <t>Deteriorating phase, RUG-ADL 15-18, Age &lt;= 54</t>
  </si>
  <si>
    <t>5BT1</t>
  </si>
  <si>
    <t>Terminal phase</t>
  </si>
  <si>
    <t>5K01</t>
  </si>
  <si>
    <t>Adult Same-Day Palliative Care</t>
  </si>
  <si>
    <t>5G01</t>
  </si>
  <si>
    <t>Paediatric palliative care</t>
  </si>
  <si>
    <t>Phase Type: Not Terminal, Age &lt; 1 year</t>
  </si>
  <si>
    <t>5G02</t>
  </si>
  <si>
    <t>Phase Type: Not Terminal, Age &gt;= 1 year, Stable phase</t>
  </si>
  <si>
    <t>5G03</t>
  </si>
  <si>
    <t>Phase Type: Not Terminal, Age &gt;= 1 year, Unstable or Deteriorating phase</t>
  </si>
  <si>
    <t>5G04</t>
  </si>
  <si>
    <t>5P01</t>
  </si>
  <si>
    <t>Paediatric Same-Day Palliative Care</t>
  </si>
  <si>
    <t>5CL1</t>
  </si>
  <si>
    <t>GEM</t>
  </si>
  <si>
    <t>Geriatric evaluation and management (GEM)</t>
  </si>
  <si>
    <t>Frailty Related Index of Comorbidities (FRIC) Score 0 - 1.8, FIM Motor 58 - 91</t>
  </si>
  <si>
    <t>5CL2</t>
  </si>
  <si>
    <t>Frailty Related Index of Comorbidities (FRIC) Score 0 - 1.8, FIM Motor 13 - 57</t>
  </si>
  <si>
    <t>5CM1</t>
  </si>
  <si>
    <t>Frailty Related Index of Comorbidities (FRIC) Score 1.9 - 7.3, FIM Motor 51 - 91</t>
  </si>
  <si>
    <t>5CM2</t>
  </si>
  <si>
    <t>Frailty Related Index of Comorbidities (FRIC) Score 1.9 - 7.3, FIM Motor 13 - 50</t>
  </si>
  <si>
    <t>5CH1</t>
  </si>
  <si>
    <t>Frailty Related Index of Comorbidities (FRIC) Score &gt;= 7.4, FIM Motor 40 - 91</t>
  </si>
  <si>
    <t>5CH2</t>
  </si>
  <si>
    <t>Frailty Related Index of Comorbidities (FRIC) Score &gt;= 7.4, FIM Motor 13 - 39</t>
  </si>
  <si>
    <t>5L01</t>
  </si>
  <si>
    <t>Same-Day GEM</t>
  </si>
  <si>
    <t>5DL1</t>
  </si>
  <si>
    <t>Psychogeriatric Care</t>
  </si>
  <si>
    <t>Psychogeriatric care</t>
  </si>
  <si>
    <t>Long term care (LOS &gt; 91)</t>
  </si>
  <si>
    <t>5DS1</t>
  </si>
  <si>
    <t>LOS =&lt; 91, HoNOS 65+ Total 18 - 48</t>
  </si>
  <si>
    <t>5DS2</t>
  </si>
  <si>
    <t>LOS =&lt; 91, HoNOS 65+ Total 0 - 17</t>
  </si>
  <si>
    <t>5M01</t>
  </si>
  <si>
    <t>Same-Day Psychogeriatric Care</t>
  </si>
  <si>
    <t>5EL1</t>
  </si>
  <si>
    <t>Maintenance</t>
  </si>
  <si>
    <t>Non-acute care</t>
  </si>
  <si>
    <t>5ES1</t>
  </si>
  <si>
    <t>Shorter term care (LOS =&lt; 91), Age &gt;= 65, Frailty Related Index of Comorbidities (FRIC) Score 0 - 1.9</t>
  </si>
  <si>
    <t>5ES2</t>
  </si>
  <si>
    <t>Shorter term care (LOS =&lt; 91), Age &gt;= 65, Frailty Related Index of Comorbidities (FRIC) Score &gt;= 2</t>
  </si>
  <si>
    <t>5ES3</t>
  </si>
  <si>
    <t>Shorter term care (LOS =&lt; 91), Age = 18-64</t>
  </si>
  <si>
    <t>5ES4</t>
  </si>
  <si>
    <t>Shorter term care (LOS =&lt; 91), Age =&lt; 17</t>
  </si>
  <si>
    <t>Hyperbaric medicine</t>
  </si>
  <si>
    <t>Interventional imaging</t>
  </si>
  <si>
    <t>Minor surgical</t>
  </si>
  <si>
    <t>Dental</t>
  </si>
  <si>
    <t>Angioplasty/angiography</t>
  </si>
  <si>
    <t>Endoscopy - gastrointestinal</t>
  </si>
  <si>
    <t>Endoscopy - urological/gynaecological</t>
  </si>
  <si>
    <t>Endoscopy - orthopaedic</t>
  </si>
  <si>
    <t>Endoscopy - respiratory/ear, nose and throat</t>
  </si>
  <si>
    <t>Renal dialysis - hospital delivered</t>
  </si>
  <si>
    <t>Chemotherapy treatment</t>
  </si>
  <si>
    <t>Radiation therapy - treatment</t>
  </si>
  <si>
    <t>Minor medical procedures</t>
  </si>
  <si>
    <t>Pain management interventions</t>
  </si>
  <si>
    <t>Renal dialysis - haemodialysis - home delivered</t>
  </si>
  <si>
    <t>Renal dialysis - peritoneal dialysis - home delivered</t>
  </si>
  <si>
    <t>Total parenteral nutrition - home delivered</t>
  </si>
  <si>
    <t>Enteral nutrition - home delivered</t>
  </si>
  <si>
    <t>Ventilation - home delivered</t>
  </si>
  <si>
    <t>Block funded</t>
  </si>
  <si>
    <t>N/A</t>
  </si>
  <si>
    <t>Radiation therapy - simulation and planning</t>
  </si>
  <si>
    <t>COVID-19 vaccination</t>
  </si>
  <si>
    <t>Not priced</t>
  </si>
  <si>
    <t>Subcutaneous immunoglobulin (SCIg) infusion therapy - home delivered</t>
  </si>
  <si>
    <t>Transplants</t>
  </si>
  <si>
    <t>Anaesthetics</t>
  </si>
  <si>
    <t>Pain management</t>
  </si>
  <si>
    <t>Developmental disabilities</t>
  </si>
  <si>
    <t>General medicine</t>
  </si>
  <si>
    <t>General practice and primary care</t>
  </si>
  <si>
    <t>Out of scope</t>
  </si>
  <si>
    <t>General surgery</t>
  </si>
  <si>
    <t>Genetics</t>
  </si>
  <si>
    <t>Geriatric medicine</t>
  </si>
  <si>
    <t>Haematology</t>
  </si>
  <si>
    <t>Paediatric medicine</t>
  </si>
  <si>
    <t>Paediatric surgery</t>
  </si>
  <si>
    <t>Palliative care</t>
  </si>
  <si>
    <t>Epilepsy</t>
  </si>
  <si>
    <t>Neurology</t>
  </si>
  <si>
    <t>Neurosurgery</t>
  </si>
  <si>
    <t>Ophthalmology</t>
  </si>
  <si>
    <t>Ear, nose and throat</t>
  </si>
  <si>
    <t>Respiratory</t>
  </si>
  <si>
    <t>Respiratory - cystic fibrosis</t>
  </si>
  <si>
    <t>Anti-coagulant screening and management</t>
  </si>
  <si>
    <t>Cardiology</t>
  </si>
  <si>
    <t>Cardiothoracic</t>
  </si>
  <si>
    <t>Vascular surgery</t>
  </si>
  <si>
    <t>Gastroenterology</t>
  </si>
  <si>
    <t>Hepatobiliary</t>
  </si>
  <si>
    <t>Craniofacial</t>
  </si>
  <si>
    <t>Metabolic bone</t>
  </si>
  <si>
    <t>Orthopaedics</t>
  </si>
  <si>
    <t>Rheumatology</t>
  </si>
  <si>
    <t>Spinal</t>
  </si>
  <si>
    <t>Breast</t>
  </si>
  <si>
    <t>Dermatology</t>
  </si>
  <si>
    <t>Endocrinology</t>
  </si>
  <si>
    <t>Nephrology</t>
  </si>
  <si>
    <t>Urology</t>
  </si>
  <si>
    <t>Assisted reproductive technology</t>
  </si>
  <si>
    <t>Gynaecology</t>
  </si>
  <si>
    <t>Gynaecological oncology</t>
  </si>
  <si>
    <t>Obstetrics - management of pregnancy without complications</t>
  </si>
  <si>
    <t>Immunology</t>
  </si>
  <si>
    <t>Medical oncology - consultation</t>
  </si>
  <si>
    <t>Radiation therapy - consultation</t>
  </si>
  <si>
    <t>Infectious diseases</t>
  </si>
  <si>
    <t>Psychiatry</t>
  </si>
  <si>
    <t>Plastic and reconstructive surgery</t>
  </si>
  <si>
    <t>Multidisciplinary burns clinic</t>
  </si>
  <si>
    <t>Geriatric evaluation and management</t>
  </si>
  <si>
    <t>Psychogeriatric</t>
  </si>
  <si>
    <t>Sleep disorders</t>
  </si>
  <si>
    <t>Addiction medicine</t>
  </si>
  <si>
    <t>Obstetrics - management of complex pregnancy</t>
  </si>
  <si>
    <t>Maternal fetal medicine</t>
  </si>
  <si>
    <t>Telehealth - patient location</t>
  </si>
  <si>
    <t>Multidisciplinary case conference - patient not present</t>
  </si>
  <si>
    <t>COVID-19 response</t>
  </si>
  <si>
    <t>Long COVID</t>
  </si>
  <si>
    <t>General imaging</t>
  </si>
  <si>
    <t>Magnetic resonance imaging</t>
  </si>
  <si>
    <t>Computerised tomography</t>
  </si>
  <si>
    <t>Nuclear medicine</t>
  </si>
  <si>
    <t>Pathology (microbiology, haematology, biochemistry)</t>
  </si>
  <si>
    <t>Positron emission tomography</t>
  </si>
  <si>
    <t>Mammography screening</t>
  </si>
  <si>
    <t>Clinical measurement</t>
  </si>
  <si>
    <t>COVID-19 response diagnostics</t>
  </si>
  <si>
    <t>Aged care assessment</t>
  </si>
  <si>
    <t>Aids and appliances</t>
  </si>
  <si>
    <t>Clinical pharmacy</t>
  </si>
  <si>
    <t>Hydrotherapy</t>
  </si>
  <si>
    <t>Occupational therapy</t>
  </si>
  <si>
    <t>Pre-admission and pre-anaesthesia</t>
  </si>
  <si>
    <t>Primary health care</t>
  </si>
  <si>
    <t>Physiotherapy</t>
  </si>
  <si>
    <t>Sexual health</t>
  </si>
  <si>
    <t>Social work</t>
  </si>
  <si>
    <t>Wound management</t>
  </si>
  <si>
    <t>Neuropsychology</t>
  </si>
  <si>
    <t>Optometry</t>
  </si>
  <si>
    <t>Orthoptics</t>
  </si>
  <si>
    <t>Audiology</t>
  </si>
  <si>
    <t>Speech pathology</t>
  </si>
  <si>
    <t>Cardiac rehabilitation</t>
  </si>
  <si>
    <t>Stomal therapy</t>
  </si>
  <si>
    <t>Nutrition/dietetics</t>
  </si>
  <si>
    <t>Orthotics</t>
  </si>
  <si>
    <t>Podiatry</t>
  </si>
  <si>
    <t>Family planning</t>
  </si>
  <si>
    <t>Midwifery and maternity</t>
  </si>
  <si>
    <t>Psychology</t>
  </si>
  <si>
    <t>Alcohol and other drugs</t>
  </si>
  <si>
    <t>Burns</t>
  </si>
  <si>
    <t>Continence</t>
  </si>
  <si>
    <t>General counselling</t>
  </si>
  <si>
    <t>Circulatory</t>
  </si>
  <si>
    <t>Haematology, immunology and rheumatology</t>
  </si>
  <si>
    <t>Oncology</t>
  </si>
  <si>
    <t>Paediatrics</t>
  </si>
  <si>
    <t>Falls prevention</t>
  </si>
  <si>
    <t>Cognition and memory</t>
  </si>
  <si>
    <t>Hospital avoidance programs</t>
  </si>
  <si>
    <t>Post-acute care</t>
  </si>
  <si>
    <t>Pulmonary rehabilitation</t>
  </si>
  <si>
    <t>Chronic pain management</t>
  </si>
  <si>
    <t>Violence, abuse and neglect services</t>
  </si>
  <si>
    <t>Genetic counselling</t>
  </si>
  <si>
    <t>Supervised administration of opioid substitution therapy</t>
  </si>
  <si>
    <r>
      <rPr>
        <vertAlign val="superscript"/>
        <sz val="11"/>
        <color rgb="FF000000"/>
        <rFont val="Arial"/>
        <family val="2"/>
      </rPr>
      <t>9</t>
    </r>
    <r>
      <rPr>
        <sz val="11"/>
        <color indexed="8"/>
        <rFont val="Arial"/>
        <family val="2"/>
      </rPr>
      <t xml:space="preserve"> These services are not priced as they are bundled to the originating service.</t>
    </r>
  </si>
  <si>
    <r>
      <rPr>
        <vertAlign val="superscript"/>
        <sz val="11"/>
        <color rgb="FF000000"/>
        <rFont val="Arial"/>
        <family val="2"/>
      </rPr>
      <t>8</t>
    </r>
    <r>
      <rPr>
        <sz val="11"/>
        <color indexed="8"/>
        <rFont val="Arial"/>
        <family val="2"/>
      </rPr>
      <t xml:space="preserve"> The price weights of Long COVID classes are pegged to those of General Medicine pending the availability of further data.</t>
    </r>
  </si>
  <si>
    <r>
      <rPr>
        <vertAlign val="superscript"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COVID-19 vaccination is not priced by IHACPA but funded under a separate agreement between the Commonwealth and the states and</t>
    </r>
  </si>
  <si>
    <r>
      <rPr>
        <vertAlign val="super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The price weight for classes 10.15, 10.16, 10.17, and 10.18 are priced on a per calendar month basis - see the national efficient price </t>
    </r>
  </si>
  <si>
    <r>
      <t>40.67</t>
    </r>
    <r>
      <rPr>
        <vertAlign val="superscript"/>
        <sz val="11"/>
        <color rgb="FF000000"/>
        <rFont val="Arial"/>
        <family val="2"/>
      </rPr>
      <t>8</t>
    </r>
  </si>
  <si>
    <r>
      <t>20.58</t>
    </r>
    <r>
      <rPr>
        <vertAlign val="superscript"/>
        <sz val="11"/>
        <color rgb="FF000000"/>
        <rFont val="Arial"/>
        <family val="2"/>
      </rPr>
      <t>8</t>
    </r>
  </si>
  <si>
    <r>
      <t>30.01</t>
    </r>
    <r>
      <rPr>
        <vertAlign val="superscript"/>
        <sz val="11"/>
        <color rgb="FF000000"/>
        <rFont val="Arial"/>
        <family val="2"/>
      </rPr>
      <t>9</t>
    </r>
  </si>
  <si>
    <r>
      <t>30.02</t>
    </r>
    <r>
      <rPr>
        <vertAlign val="superscript"/>
        <sz val="11"/>
        <color rgb="FF000000"/>
        <rFont val="Arial"/>
        <family val="2"/>
      </rPr>
      <t>9</t>
    </r>
  </si>
  <si>
    <r>
      <t>30.03</t>
    </r>
    <r>
      <rPr>
        <vertAlign val="superscript"/>
        <sz val="11"/>
        <color rgb="FF000000"/>
        <rFont val="Arial"/>
        <family val="2"/>
      </rPr>
      <t>9</t>
    </r>
  </si>
  <si>
    <r>
      <t>30.04</t>
    </r>
    <r>
      <rPr>
        <vertAlign val="superscript"/>
        <sz val="11"/>
        <color rgb="FF000000"/>
        <rFont val="Arial"/>
        <family val="2"/>
      </rPr>
      <t>9</t>
    </r>
  </si>
  <si>
    <r>
      <t>30.05</t>
    </r>
    <r>
      <rPr>
        <vertAlign val="superscript"/>
        <sz val="11"/>
        <color rgb="FF000000"/>
        <rFont val="Arial"/>
        <family val="2"/>
      </rPr>
      <t>9</t>
    </r>
  </si>
  <si>
    <r>
      <t>30.06</t>
    </r>
    <r>
      <rPr>
        <vertAlign val="superscript"/>
        <sz val="11"/>
        <color rgb="FF000000"/>
        <rFont val="Arial"/>
        <family val="2"/>
      </rPr>
      <t>9</t>
    </r>
  </si>
  <si>
    <r>
      <t>30.07</t>
    </r>
    <r>
      <rPr>
        <vertAlign val="superscript"/>
        <sz val="11"/>
        <color rgb="FF000000"/>
        <rFont val="Arial"/>
        <family val="2"/>
      </rPr>
      <t>9</t>
    </r>
  </si>
  <si>
    <r>
      <t>30.08</t>
    </r>
    <r>
      <rPr>
        <vertAlign val="superscript"/>
        <sz val="11"/>
        <color rgb="FF000000"/>
        <rFont val="Arial"/>
        <family val="2"/>
      </rPr>
      <t>9</t>
    </r>
  </si>
  <si>
    <r>
      <t>30.09</t>
    </r>
    <r>
      <rPr>
        <vertAlign val="superscript"/>
        <sz val="11"/>
        <color rgb="FF000000"/>
        <rFont val="Arial"/>
        <family val="2"/>
      </rPr>
      <t>9</t>
    </r>
  </si>
  <si>
    <r>
      <t>10.21</t>
    </r>
    <r>
      <rPr>
        <vertAlign val="superscript"/>
        <sz val="11"/>
        <color rgb="FF000000"/>
        <rFont val="Arial"/>
        <family val="2"/>
      </rPr>
      <t>7</t>
    </r>
  </si>
  <si>
    <r>
      <t>10.15</t>
    </r>
    <r>
      <rPr>
        <vertAlign val="superscript"/>
        <sz val="11"/>
        <color rgb="FF000000"/>
        <rFont val="Arial"/>
        <family val="2"/>
      </rPr>
      <t>6</t>
    </r>
  </si>
  <si>
    <r>
      <t>10.16</t>
    </r>
    <r>
      <rPr>
        <vertAlign val="superscript"/>
        <sz val="11"/>
        <color rgb="FF000000"/>
        <rFont val="Arial"/>
        <family val="2"/>
      </rPr>
      <t>6</t>
    </r>
  </si>
  <si>
    <r>
      <t>10.17</t>
    </r>
    <r>
      <rPr>
        <vertAlign val="superscript"/>
        <sz val="11"/>
        <color rgb="FF000000"/>
        <rFont val="Arial"/>
        <family val="2"/>
      </rPr>
      <t>6</t>
    </r>
  </si>
  <si>
    <r>
      <t>10.18</t>
    </r>
    <r>
      <rPr>
        <vertAlign val="superscript"/>
        <sz val="11"/>
        <color rgb="FF000000"/>
        <rFont val="Arial"/>
        <family val="2"/>
      </rPr>
      <t>6</t>
    </r>
  </si>
  <si>
    <t>1. Pressure injury</t>
  </si>
  <si>
    <t>2. Infections</t>
  </si>
  <si>
    <t>3. Surgical complications</t>
  </si>
  <si>
    <t>4. Respiratory complications</t>
  </si>
  <si>
    <t>5. Venous thromboembolism</t>
  </si>
  <si>
    <t>6. Renal failure</t>
  </si>
  <si>
    <t>7. Gastrointestinal bleeding</t>
  </si>
  <si>
    <t>8. Medication complications</t>
  </si>
  <si>
    <t>9. Delirium</t>
  </si>
  <si>
    <t>10. Cardiac complications</t>
  </si>
  <si>
    <t>11. Constipation</t>
  </si>
  <si>
    <t>12. Nausea and vomiting</t>
  </si>
  <si>
    <t>2. Falls resulting in fracture or intracranial injury</t>
  </si>
  <si>
    <t>3. Healthcare-associated infection</t>
  </si>
  <si>
    <t>4. Surgical complications requiring unplanned return to theatre</t>
  </si>
  <si>
    <t>5. Unplanned intensive care unit admission¹⁰</t>
  </si>
  <si>
    <t>Nil</t>
  </si>
  <si>
    <t>6. Respiratory complications</t>
  </si>
  <si>
    <t>7. Venous thromboembolism</t>
  </si>
  <si>
    <t>8. Renal failure</t>
  </si>
  <si>
    <t>9. Gastrointestinal bleeding</t>
  </si>
  <si>
    <t>10. Medication complications</t>
  </si>
  <si>
    <t>11. Delirium</t>
  </si>
  <si>
    <t>12. Incontinence</t>
  </si>
  <si>
    <t>13. Endocrine complications</t>
  </si>
  <si>
    <t>14. Cardiac complications</t>
  </si>
  <si>
    <t>15.1. Third degree perineal laceration during delivery¹⁰</t>
  </si>
  <si>
    <t>15.2. Fourth degree perineal laceration during delivery</t>
  </si>
  <si>
    <t>16. Neonatal birth trauma¹⁰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</si>
</sst>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0.0000"/>
    <numFmt numFmtId="166" formatCode="_-* #,##0.0_-;\-* #,##0.0_-;_-* &quot;-&quot;??_-;_-@_-"/>
    <numFmt numFmtId="167" formatCode="#,##0.0_ ;\-#,##0.0\ "/>
    <numFmt numFmtId="168" formatCode="#,##0_ ;\-#,##0\ "/>
    <numFmt numFmtId="169" formatCode="#,##0.0000"/>
    <numFmt numFmtId="170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0"/>
      <name val="Arial"/>
      <family val="2"/>
    </font>
    <font>
      <sz val="8"/>
      <color indexed="8"/>
      <name val="Arial"/>
      <family val="2"/>
    </font>
    <font>
      <sz val="10"/>
      <name val="Calibri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color theme="1"/>
      <name val="Arial"/>
      <family val="2"/>
    </font>
    <font>
      <b/>
      <sz val="16"/>
      <color rgb="FF104F99"/>
      <name val="Arial"/>
      <family val="2"/>
    </font>
    <font>
      <vertAlign val="superscript"/>
      <sz val="11"/>
      <color rgb="FF000000"/>
      <name val="Arial"/>
      <family val="2"/>
    </font>
    <font>
      <b/>
      <sz val="16"/>
      <color rgb="FF104699"/>
      <name val="Arial"/>
      <family val="2"/>
    </font>
    <font>
      <sz val="8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4F99"/>
        <bgColor indexed="64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4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9" fillId="0" borderId="5" xfId="3" applyFont="1" applyBorder="1" applyAlignment="1">
      <alignment horizontal="center"/>
    </xf>
    <xf numFmtId="0" fontId="9" fillId="0" borderId="5" xfId="3" applyFont="1" applyBorder="1"/>
    <xf numFmtId="164" fontId="5" fillId="0" borderId="5" xfId="3" applyNumberFormat="1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9" fontId="5" fillId="0" borderId="5" xfId="3" applyNumberFormat="1" applyFont="1" applyBorder="1" applyAlignment="1">
      <alignment horizontal="center"/>
    </xf>
    <xf numFmtId="165" fontId="5" fillId="0" borderId="5" xfId="3" applyNumberFormat="1" applyFont="1" applyBorder="1" applyAlignment="1">
      <alignment horizontal="center"/>
    </xf>
    <xf numFmtId="0" fontId="0" fillId="2" borderId="0" xfId="0" applyFill="1"/>
    <xf numFmtId="166" fontId="2" fillId="0" borderId="5" xfId="1" applyNumberFormat="1" applyFont="1" applyBorder="1" applyAlignment="1">
      <alignment horizontal="center"/>
    </xf>
    <xf numFmtId="166" fontId="2" fillId="0" borderId="5" xfId="1" applyNumberFormat="1" applyFont="1" applyBorder="1" applyAlignment="1">
      <alignment horizontal="left"/>
    </xf>
    <xf numFmtId="167" fontId="5" fillId="0" borderId="5" xfId="1" applyNumberFormat="1" applyFont="1" applyBorder="1" applyAlignment="1">
      <alignment horizontal="center"/>
    </xf>
    <xf numFmtId="168" fontId="5" fillId="0" borderId="5" xfId="1" applyNumberFormat="1" applyFont="1" applyBorder="1" applyAlignment="1">
      <alignment horizontal="center"/>
    </xf>
    <xf numFmtId="169" fontId="5" fillId="0" borderId="5" xfId="1" applyNumberFormat="1" applyFont="1" applyBorder="1" applyAlignment="1">
      <alignment horizontal="center"/>
    </xf>
    <xf numFmtId="2" fontId="11" fillId="0" borderId="6" xfId="4" applyNumberFormat="1" applyFont="1" applyBorder="1" applyAlignment="1">
      <alignment horizontal="center"/>
    </xf>
    <xf numFmtId="2" fontId="11" fillId="0" borderId="6" xfId="4" applyNumberFormat="1" applyFont="1" applyBorder="1" applyAlignment="1">
      <alignment horizontal="left"/>
    </xf>
    <xf numFmtId="0" fontId="3" fillId="2" borderId="0" xfId="0" applyFont="1" applyFill="1"/>
    <xf numFmtId="169" fontId="12" fillId="0" borderId="6" xfId="4" applyNumberFormat="1" applyFont="1" applyBorder="1" applyAlignment="1">
      <alignment horizontal="center"/>
    </xf>
    <xf numFmtId="9" fontId="12" fillId="0" borderId="6" xfId="2" applyFont="1" applyBorder="1" applyAlignment="1">
      <alignment horizontal="center"/>
    </xf>
    <xf numFmtId="49" fontId="11" fillId="0" borderId="6" xfId="4" applyNumberFormat="1" applyFont="1" applyBorder="1" applyAlignment="1">
      <alignment horizontal="center"/>
    </xf>
    <xf numFmtId="165" fontId="11" fillId="2" borderId="6" xfId="0" applyNumberFormat="1" applyFont="1" applyFill="1" applyBorder="1" applyAlignment="1">
      <alignment horizontal="center"/>
    </xf>
    <xf numFmtId="165" fontId="11" fillId="2" borderId="6" xfId="0" applyNumberFormat="1" applyFont="1" applyFill="1" applyBorder="1" applyAlignment="1">
      <alignment horizontal="left"/>
    </xf>
    <xf numFmtId="165" fontId="12" fillId="2" borderId="6" xfId="0" applyNumberFormat="1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/>
    </xf>
    <xf numFmtId="170" fontId="12" fillId="0" borderId="6" xfId="2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/>
    </xf>
    <xf numFmtId="0" fontId="3" fillId="0" borderId="0" xfId="0" applyFont="1"/>
    <xf numFmtId="0" fontId="3" fillId="0" borderId="0" xfId="0" quotePrefix="1" applyFont="1"/>
    <xf numFmtId="2" fontId="3" fillId="2" borderId="0" xfId="0" applyNumberFormat="1" applyFont="1" applyFill="1"/>
    <xf numFmtId="2" fontId="0" fillId="2" borderId="0" xfId="0" applyNumberFormat="1" applyFill="1"/>
    <xf numFmtId="2" fontId="11" fillId="2" borderId="0" xfId="4" applyNumberFormat="1" applyFont="1" applyFill="1" applyAlignment="1">
      <alignment horizontal="left"/>
    </xf>
    <xf numFmtId="0" fontId="13" fillId="0" borderId="6" xfId="0" applyFont="1" applyBorder="1" applyAlignment="1">
      <alignment horizontal="left" wrapText="1"/>
    </xf>
    <xf numFmtId="49" fontId="3" fillId="2" borderId="6" xfId="0" applyNumberFormat="1" applyFont="1" applyFill="1" applyBorder="1" applyAlignment="1">
      <alignment wrapText="1"/>
    </xf>
    <xf numFmtId="49" fontId="13" fillId="0" borderId="6" xfId="0" applyNumberFormat="1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170" fontId="3" fillId="0" borderId="7" xfId="2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2" fontId="11" fillId="0" borderId="0" xfId="4" applyNumberFormat="1" applyFont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12" fillId="0" borderId="6" xfId="4" applyNumberFormat="1" applyFont="1" applyBorder="1" applyAlignment="1">
      <alignment horizontal="center"/>
    </xf>
    <xf numFmtId="1" fontId="12" fillId="0" borderId="6" xfId="4" applyNumberFormat="1" applyFont="1" applyBorder="1" applyAlignment="1">
      <alignment horizontal="center"/>
    </xf>
    <xf numFmtId="165" fontId="12" fillId="0" borderId="6" xfId="4" applyNumberFormat="1" applyFont="1" applyBorder="1" applyAlignment="1">
      <alignment horizontal="center"/>
    </xf>
    <xf numFmtId="165" fontId="11" fillId="0" borderId="6" xfId="4" applyNumberFormat="1" applyFont="1" applyBorder="1" applyAlignment="1">
      <alignment horizontal="center"/>
    </xf>
    <xf numFmtId="49" fontId="11" fillId="0" borderId="1" xfId="4" applyNumberFormat="1" applyFont="1" applyBorder="1" applyAlignment="1">
      <alignment horizontal="center"/>
    </xf>
    <xf numFmtId="2" fontId="11" fillId="0" borderId="1" xfId="4" applyNumberFormat="1" applyFont="1" applyBorder="1" applyAlignment="1">
      <alignment horizontal="left"/>
    </xf>
    <xf numFmtId="169" fontId="12" fillId="0" borderId="1" xfId="4" applyNumberFormat="1" applyFont="1" applyBorder="1" applyAlignment="1">
      <alignment horizontal="center"/>
    </xf>
    <xf numFmtId="9" fontId="12" fillId="0" borderId="1" xfId="2" applyFont="1" applyBorder="1" applyAlignment="1">
      <alignment horizontal="center"/>
    </xf>
    <xf numFmtId="49" fontId="11" fillId="0" borderId="7" xfId="4" applyNumberFormat="1" applyFont="1" applyBorder="1" applyAlignment="1">
      <alignment horizontal="center"/>
    </xf>
    <xf numFmtId="2" fontId="11" fillId="0" borderId="7" xfId="4" applyNumberFormat="1" applyFont="1" applyBorder="1" applyAlignment="1">
      <alignment horizontal="left"/>
    </xf>
    <xf numFmtId="169" fontId="12" fillId="0" borderId="7" xfId="4" applyNumberFormat="1" applyFont="1" applyBorder="1" applyAlignment="1">
      <alignment horizontal="center"/>
    </xf>
    <xf numFmtId="9" fontId="12" fillId="0" borderId="7" xfId="2" applyFont="1" applyFill="1" applyBorder="1" applyAlignment="1">
      <alignment horizontal="center"/>
    </xf>
    <xf numFmtId="9" fontId="0" fillId="0" borderId="0" xfId="0" applyNumberFormat="1"/>
    <xf numFmtId="0" fontId="3" fillId="2" borderId="6" xfId="0" applyFont="1" applyFill="1" applyBorder="1"/>
    <xf numFmtId="9" fontId="12" fillId="2" borderId="6" xfId="2" applyFont="1" applyFill="1" applyBorder="1" applyAlignment="1">
      <alignment horizontal="center"/>
    </xf>
    <xf numFmtId="170" fontId="12" fillId="2" borderId="6" xfId="2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</cellXfs>
  <cellStyles count="12">
    <cellStyle name="Comma" xfId="1" builtinId="3"/>
    <cellStyle name="Comma 2" xfId="5" xr:uid="{0F979F1B-1867-4C3D-A163-D18AF41D2C59}"/>
    <cellStyle name="Comma 3" xfId="8" xr:uid="{FB05691B-6EBC-4A8D-A921-7D7AB6BB1D32}"/>
    <cellStyle name="Comma 4" xfId="10" xr:uid="{9D1A635A-445A-4C09-B55B-8DD58A4EA617}"/>
    <cellStyle name="Currency 2" xfId="6" xr:uid="{4F2A208C-9DBB-46C9-A483-398DB971FE5E}"/>
    <cellStyle name="Currency 3" xfId="9" xr:uid="{41159B6A-BD21-46D8-B801-2955657C7C62}"/>
    <cellStyle name="Currency 4" xfId="11" xr:uid="{40F713C5-76B8-4312-942A-852F69D1D5E3}"/>
    <cellStyle name="Neutral 2" xfId="7" xr:uid="{32B3DFB4-D2A1-4EF8-84EB-9DA5D0BCE62A}"/>
    <cellStyle name="Normal" xfId="0" builtinId="0"/>
    <cellStyle name="Normal 2" xfId="4" xr:uid="{00000000-0005-0000-0000-000002000000}"/>
    <cellStyle name="Normal_Table 1 - Admitted patients to Appendix B - Price Weights - 20120522" xfId="3" xr:uid="{00000000-0005-0000-0000-000003000000}"/>
    <cellStyle name="Percent" xfId="2" builtinId="5"/>
  </cellStyles>
  <dxfs count="0"/>
  <tableStyles count="1" defaultTableStyle="TableStyleMedium2" defaultPivotStyle="PivotStyleLight16">
    <tableStyle name="Invisible" pivot="0" table="0" count="0" xr9:uid="{C94CA537-CECB-478C-B49A-049C86A9E5FC}"/>
  </tableStyles>
  <colors>
    <mruColors>
      <color rgb="FF104F99"/>
      <color rgb="FF10B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B1:N805"/>
  <sheetViews>
    <sheetView showGridLines="0" workbookViewId="0"/>
  </sheetViews>
  <sheetFormatPr defaultRowHeight="15" customHeight="1" x14ac:dyDescent="0.25"/>
  <cols>
    <col min="1" max="1" width="2.7109375" customWidth="1"/>
    <col min="2" max="2" width="11.42578125" bestFit="1" customWidth="1"/>
    <col min="3" max="3" width="88.140625" bestFit="1" customWidth="1"/>
    <col min="4" max="4" width="13.42578125" customWidth="1"/>
    <col min="5" max="5" width="10.42578125" bestFit="1" customWidth="1"/>
    <col min="6" max="6" width="17.140625" customWidth="1"/>
    <col min="7" max="7" width="6.140625" customWidth="1"/>
    <col min="8" max="8" width="6" customWidth="1"/>
    <col min="9" max="9" width="18.42578125" bestFit="1" customWidth="1"/>
    <col min="10" max="10" width="8.5703125" customWidth="1"/>
    <col min="13" max="13" width="6.5703125" bestFit="1" customWidth="1"/>
    <col min="14" max="14" width="8.85546875" customWidth="1"/>
  </cols>
  <sheetData>
    <row r="1" spans="2:14" ht="20.100000000000001" customHeight="1" x14ac:dyDescent="0.25"/>
    <row r="2" spans="2:14" ht="20.100000000000001" customHeight="1" x14ac:dyDescent="0.3">
      <c r="B2" s="30" t="s">
        <v>0</v>
      </c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</row>
    <row r="3" spans="2:14" ht="20.100000000000001" customHeight="1" x14ac:dyDescent="0.25">
      <c r="B3" s="3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</row>
    <row r="4" spans="2:14" ht="20.100000000000001" customHeight="1" x14ac:dyDescent="0.25">
      <c r="B4" s="4" t="s">
        <v>42</v>
      </c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</row>
    <row r="5" spans="2:14" ht="20.100000000000001" customHeight="1" x14ac:dyDescent="0.25">
      <c r="B5" s="5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</row>
    <row r="6" spans="2:14" ht="15" customHeight="1" x14ac:dyDescent="0.25">
      <c r="B6" s="61" t="s">
        <v>1</v>
      </c>
      <c r="C6" s="61" t="s">
        <v>2</v>
      </c>
      <c r="D6" s="61" t="s">
        <v>3</v>
      </c>
      <c r="E6" s="61" t="s">
        <v>4</v>
      </c>
      <c r="F6" s="61" t="s">
        <v>5</v>
      </c>
      <c r="G6" s="63" t="s">
        <v>6</v>
      </c>
      <c r="H6" s="65"/>
      <c r="I6" s="61" t="s">
        <v>7</v>
      </c>
      <c r="J6" s="63" t="s">
        <v>8</v>
      </c>
      <c r="K6" s="64"/>
      <c r="L6" s="64"/>
      <c r="M6" s="64"/>
      <c r="N6" s="65"/>
    </row>
    <row r="7" spans="2:14" ht="36" customHeight="1" x14ac:dyDescent="0.25">
      <c r="B7" s="62"/>
      <c r="C7" s="62"/>
      <c r="D7" s="62"/>
      <c r="E7" s="62"/>
      <c r="F7" s="62"/>
      <c r="G7" s="43" t="s">
        <v>9</v>
      </c>
      <c r="H7" s="43" t="s">
        <v>10</v>
      </c>
      <c r="I7" s="62"/>
      <c r="J7" s="43" t="s">
        <v>11</v>
      </c>
      <c r="K7" s="43" t="s">
        <v>12</v>
      </c>
      <c r="L7" s="43" t="s">
        <v>13</v>
      </c>
      <c r="M7" s="43" t="s">
        <v>14</v>
      </c>
      <c r="N7" s="43" t="s">
        <v>15</v>
      </c>
    </row>
    <row r="8" spans="2:14" ht="15" customHeight="1" x14ac:dyDescent="0.25">
      <c r="B8" s="6" t="s">
        <v>238</v>
      </c>
      <c r="C8" s="7" t="s">
        <v>239</v>
      </c>
      <c r="D8" s="6" t="s">
        <v>240</v>
      </c>
      <c r="E8" s="6" t="s">
        <v>240</v>
      </c>
      <c r="F8" s="8">
        <v>25.1</v>
      </c>
      <c r="G8" s="9">
        <v>7</v>
      </c>
      <c r="H8" s="9">
        <v>72</v>
      </c>
      <c r="I8" s="10">
        <v>1.35</v>
      </c>
      <c r="J8" s="11" t="s">
        <v>241</v>
      </c>
      <c r="K8" s="11">
        <v>0.95269999999999999</v>
      </c>
      <c r="L8" s="11">
        <v>1.1849000000000001</v>
      </c>
      <c r="M8" s="11">
        <v>9.2471999999999994</v>
      </c>
      <c r="N8" s="11">
        <v>0.26</v>
      </c>
    </row>
    <row r="9" spans="2:14" ht="15" customHeight="1" x14ac:dyDescent="0.25">
      <c r="B9" s="6" t="s">
        <v>242</v>
      </c>
      <c r="C9" s="7" t="s">
        <v>243</v>
      </c>
      <c r="D9" s="6" t="s">
        <v>240</v>
      </c>
      <c r="E9" s="6" t="s">
        <v>240</v>
      </c>
      <c r="F9" s="8">
        <v>8.3000000000000007</v>
      </c>
      <c r="G9" s="9">
        <v>3</v>
      </c>
      <c r="H9" s="9">
        <v>27</v>
      </c>
      <c r="I9" s="10">
        <v>1.05</v>
      </c>
      <c r="J9" s="11" t="s">
        <v>241</v>
      </c>
      <c r="K9" s="11">
        <v>0.6381</v>
      </c>
      <c r="L9" s="11">
        <v>1.0994999999999999</v>
      </c>
      <c r="M9" s="11">
        <v>3.9367000000000001</v>
      </c>
      <c r="N9" s="11">
        <v>0.25480000000000003</v>
      </c>
    </row>
    <row r="10" spans="2:14" ht="15" customHeight="1" x14ac:dyDescent="0.25">
      <c r="B10" s="6" t="s">
        <v>244</v>
      </c>
      <c r="C10" s="7" t="s">
        <v>245</v>
      </c>
      <c r="D10" s="6" t="s">
        <v>240</v>
      </c>
      <c r="E10" s="6" t="s">
        <v>240</v>
      </c>
      <c r="F10" s="8">
        <v>2.7</v>
      </c>
      <c r="G10" s="9">
        <v>1</v>
      </c>
      <c r="H10" s="9">
        <v>8</v>
      </c>
      <c r="I10" s="10">
        <v>1.07</v>
      </c>
      <c r="J10" s="11" t="s">
        <v>241</v>
      </c>
      <c r="K10" s="11" t="s">
        <v>241</v>
      </c>
      <c r="L10" s="11" t="s">
        <v>241</v>
      </c>
      <c r="M10" s="11">
        <v>1.2809999999999999</v>
      </c>
      <c r="N10" s="11">
        <v>0.28949999999999998</v>
      </c>
    </row>
    <row r="11" spans="2:14" ht="15" customHeight="1" x14ac:dyDescent="0.25">
      <c r="B11" s="6" t="s">
        <v>246</v>
      </c>
      <c r="C11" s="7" t="s">
        <v>247</v>
      </c>
      <c r="D11" s="6" t="s">
        <v>240</v>
      </c>
      <c r="E11" s="6" t="s">
        <v>240</v>
      </c>
      <c r="F11" s="8">
        <v>34.6</v>
      </c>
      <c r="G11" s="9">
        <v>10</v>
      </c>
      <c r="H11" s="9">
        <v>99</v>
      </c>
      <c r="I11" s="10">
        <v>1.45</v>
      </c>
      <c r="J11" s="11" t="s">
        <v>241</v>
      </c>
      <c r="K11" s="11">
        <v>3.3512</v>
      </c>
      <c r="L11" s="11">
        <v>3.4792999999999998</v>
      </c>
      <c r="M11" s="11">
        <v>38.144399999999997</v>
      </c>
      <c r="N11" s="11">
        <v>0.38600000000000001</v>
      </c>
    </row>
    <row r="12" spans="2:14" ht="15" customHeight="1" x14ac:dyDescent="0.25">
      <c r="B12" s="6" t="s">
        <v>248</v>
      </c>
      <c r="C12" s="7" t="s">
        <v>249</v>
      </c>
      <c r="D12" s="6" t="s">
        <v>240</v>
      </c>
      <c r="E12" s="6" t="s">
        <v>240</v>
      </c>
      <c r="F12" s="8">
        <v>18</v>
      </c>
      <c r="G12" s="9">
        <v>5</v>
      </c>
      <c r="H12" s="9">
        <v>54</v>
      </c>
      <c r="I12" s="10">
        <v>1.2</v>
      </c>
      <c r="J12" s="11" t="s">
        <v>241</v>
      </c>
      <c r="K12" s="11">
        <v>1.4458</v>
      </c>
      <c r="L12" s="11">
        <v>4.3070000000000004</v>
      </c>
      <c r="M12" s="11">
        <v>22.980699999999999</v>
      </c>
      <c r="N12" s="11">
        <v>0.37480000000000002</v>
      </c>
    </row>
    <row r="13" spans="2:14" ht="15" customHeight="1" x14ac:dyDescent="0.25">
      <c r="B13" s="6" t="s">
        <v>250</v>
      </c>
      <c r="C13" s="7" t="s">
        <v>251</v>
      </c>
      <c r="D13" s="6" t="s">
        <v>240</v>
      </c>
      <c r="E13" s="6" t="s">
        <v>240</v>
      </c>
      <c r="F13" s="8">
        <v>24.7</v>
      </c>
      <c r="G13" s="9">
        <v>8</v>
      </c>
      <c r="H13" s="9">
        <v>73</v>
      </c>
      <c r="I13" s="10">
        <v>1.34</v>
      </c>
      <c r="J13" s="11" t="s">
        <v>241</v>
      </c>
      <c r="K13" s="11">
        <v>2.6202999999999999</v>
      </c>
      <c r="L13" s="11">
        <v>2.0855999999999999</v>
      </c>
      <c r="M13" s="11">
        <v>19.305</v>
      </c>
      <c r="N13" s="11">
        <v>0.37659999999999999</v>
      </c>
    </row>
    <row r="14" spans="2:14" ht="15" customHeight="1" x14ac:dyDescent="0.25">
      <c r="B14" s="6" t="s">
        <v>252</v>
      </c>
      <c r="C14" s="7" t="s">
        <v>253</v>
      </c>
      <c r="D14" s="6" t="s">
        <v>240</v>
      </c>
      <c r="E14" s="6" t="s">
        <v>240</v>
      </c>
      <c r="F14" s="8">
        <v>12.8</v>
      </c>
      <c r="G14" s="9">
        <v>4</v>
      </c>
      <c r="H14" s="9">
        <v>37</v>
      </c>
      <c r="I14" s="10">
        <v>1.19</v>
      </c>
      <c r="J14" s="11" t="s">
        <v>241</v>
      </c>
      <c r="K14" s="11">
        <v>0.95640000000000003</v>
      </c>
      <c r="L14" s="11">
        <v>2.6541000000000001</v>
      </c>
      <c r="M14" s="11">
        <v>11.5726</v>
      </c>
      <c r="N14" s="11">
        <v>0.36170000000000002</v>
      </c>
    </row>
    <row r="15" spans="2:14" ht="15" customHeight="1" x14ac:dyDescent="0.25">
      <c r="B15" s="6" t="s">
        <v>254</v>
      </c>
      <c r="C15" s="7" t="s">
        <v>255</v>
      </c>
      <c r="D15" s="6" t="s">
        <v>240</v>
      </c>
      <c r="E15" s="6" t="s">
        <v>240</v>
      </c>
      <c r="F15" s="8">
        <v>7</v>
      </c>
      <c r="G15" s="9">
        <v>2</v>
      </c>
      <c r="H15" s="9">
        <v>22</v>
      </c>
      <c r="I15" s="10">
        <v>1.32</v>
      </c>
      <c r="J15" s="11" t="s">
        <v>241</v>
      </c>
      <c r="K15" s="11">
        <v>0.42409999999999998</v>
      </c>
      <c r="L15" s="11">
        <v>3.4861</v>
      </c>
      <c r="M15" s="11">
        <v>7.3963999999999999</v>
      </c>
      <c r="N15" s="11">
        <v>0.38700000000000001</v>
      </c>
    </row>
    <row r="16" spans="2:14" ht="15" customHeight="1" x14ac:dyDescent="0.25">
      <c r="B16" s="6" t="s">
        <v>256</v>
      </c>
      <c r="C16" s="7" t="s">
        <v>257</v>
      </c>
      <c r="D16" s="6" t="s">
        <v>240</v>
      </c>
      <c r="E16" s="6" t="s">
        <v>240</v>
      </c>
      <c r="F16" s="8">
        <v>27.2</v>
      </c>
      <c r="G16" s="9">
        <v>9</v>
      </c>
      <c r="H16" s="9">
        <v>89</v>
      </c>
      <c r="I16" s="10">
        <v>1</v>
      </c>
      <c r="J16" s="11" t="s">
        <v>241</v>
      </c>
      <c r="K16" s="11">
        <v>3.5463</v>
      </c>
      <c r="L16" s="11">
        <v>1.6910000000000001</v>
      </c>
      <c r="M16" s="11">
        <v>18.765699999999999</v>
      </c>
      <c r="N16" s="11">
        <v>0.38269999999999998</v>
      </c>
    </row>
    <row r="17" spans="2:14" ht="15" customHeight="1" x14ac:dyDescent="0.25">
      <c r="B17" s="6" t="s">
        <v>258</v>
      </c>
      <c r="C17" s="7" t="s">
        <v>259</v>
      </c>
      <c r="D17" s="6" t="s">
        <v>240</v>
      </c>
      <c r="E17" s="6" t="s">
        <v>240</v>
      </c>
      <c r="F17" s="8">
        <v>18.600000000000001</v>
      </c>
      <c r="G17" s="9">
        <v>6</v>
      </c>
      <c r="H17" s="9">
        <v>56</v>
      </c>
      <c r="I17" s="10">
        <v>1</v>
      </c>
      <c r="J17" s="11" t="s">
        <v>241</v>
      </c>
      <c r="K17" s="11">
        <v>1.7504</v>
      </c>
      <c r="L17" s="11">
        <v>1.7513000000000001</v>
      </c>
      <c r="M17" s="11">
        <v>12.2584</v>
      </c>
      <c r="N17" s="11">
        <v>0.36969999999999997</v>
      </c>
    </row>
    <row r="18" spans="2:14" ht="15" customHeight="1" x14ac:dyDescent="0.25">
      <c r="B18" s="6" t="s">
        <v>260</v>
      </c>
      <c r="C18" s="7" t="s">
        <v>261</v>
      </c>
      <c r="D18" s="6" t="s">
        <v>240</v>
      </c>
      <c r="E18" s="6" t="s">
        <v>240</v>
      </c>
      <c r="F18" s="8">
        <v>11.2</v>
      </c>
      <c r="G18" s="9">
        <v>3</v>
      </c>
      <c r="H18" s="9">
        <v>35</v>
      </c>
      <c r="I18" s="10">
        <v>1</v>
      </c>
      <c r="J18" s="11" t="s">
        <v>241</v>
      </c>
      <c r="K18" s="11">
        <v>0.83389999999999997</v>
      </c>
      <c r="L18" s="11">
        <v>2.0528</v>
      </c>
      <c r="M18" s="11">
        <v>6.9923999999999999</v>
      </c>
      <c r="N18" s="11">
        <v>0.3397</v>
      </c>
    </row>
    <row r="19" spans="2:14" ht="15" customHeight="1" x14ac:dyDescent="0.25">
      <c r="B19" s="6" t="s">
        <v>262</v>
      </c>
      <c r="C19" s="7" t="s">
        <v>263</v>
      </c>
      <c r="D19" s="6" t="s">
        <v>240</v>
      </c>
      <c r="E19" s="6" t="s">
        <v>240</v>
      </c>
      <c r="F19" s="8">
        <v>10.8</v>
      </c>
      <c r="G19" s="9">
        <v>3</v>
      </c>
      <c r="H19" s="9">
        <v>31</v>
      </c>
      <c r="I19" s="10">
        <v>1.68</v>
      </c>
      <c r="J19" s="11" t="s">
        <v>241</v>
      </c>
      <c r="K19" s="11">
        <v>2.4847000000000001</v>
      </c>
      <c r="L19" s="11">
        <v>7.2590000000000003</v>
      </c>
      <c r="M19" s="11">
        <v>24.261600000000001</v>
      </c>
      <c r="N19" s="11">
        <v>0.63819999999999999</v>
      </c>
    </row>
    <row r="20" spans="2:14" ht="15" customHeight="1" x14ac:dyDescent="0.25">
      <c r="B20" s="6" t="s">
        <v>264</v>
      </c>
      <c r="C20" s="7" t="s">
        <v>265</v>
      </c>
      <c r="D20" s="6" t="s">
        <v>240</v>
      </c>
      <c r="E20" s="6" t="s">
        <v>240</v>
      </c>
      <c r="F20" s="8">
        <v>4.8</v>
      </c>
      <c r="G20" s="9">
        <v>1</v>
      </c>
      <c r="H20" s="9">
        <v>14</v>
      </c>
      <c r="I20" s="10">
        <v>1</v>
      </c>
      <c r="J20" s="11" t="s">
        <v>241</v>
      </c>
      <c r="K20" s="11" t="s">
        <v>241</v>
      </c>
      <c r="L20" s="11" t="s">
        <v>241</v>
      </c>
      <c r="M20" s="11">
        <v>3.1429999999999998</v>
      </c>
      <c r="N20" s="11">
        <v>0.32269999999999999</v>
      </c>
    </row>
    <row r="21" spans="2:14" ht="15" customHeight="1" x14ac:dyDescent="0.25">
      <c r="B21" s="6" t="s">
        <v>266</v>
      </c>
      <c r="C21" s="7" t="s">
        <v>267</v>
      </c>
      <c r="D21" s="6" t="s">
        <v>240</v>
      </c>
      <c r="E21" s="6" t="s">
        <v>240</v>
      </c>
      <c r="F21" s="8">
        <v>18.5</v>
      </c>
      <c r="G21" s="9">
        <v>5</v>
      </c>
      <c r="H21" s="9">
        <v>52</v>
      </c>
      <c r="I21" s="10">
        <v>1.32</v>
      </c>
      <c r="J21" s="11" t="s">
        <v>241</v>
      </c>
      <c r="K21" s="11">
        <v>1.8087</v>
      </c>
      <c r="L21" s="11">
        <v>1.8360000000000001</v>
      </c>
      <c r="M21" s="11">
        <v>10.988799999999999</v>
      </c>
      <c r="N21" s="11">
        <v>0.31819999999999998</v>
      </c>
    </row>
    <row r="22" spans="2:14" ht="15" customHeight="1" x14ac:dyDescent="0.25">
      <c r="B22" s="6" t="s">
        <v>268</v>
      </c>
      <c r="C22" s="7" t="s">
        <v>269</v>
      </c>
      <c r="D22" s="6" t="s">
        <v>240</v>
      </c>
      <c r="E22" s="6" t="s">
        <v>240</v>
      </c>
      <c r="F22" s="8">
        <v>9.1</v>
      </c>
      <c r="G22" s="9">
        <v>3</v>
      </c>
      <c r="H22" s="9">
        <v>27</v>
      </c>
      <c r="I22" s="10">
        <v>1.1000000000000001</v>
      </c>
      <c r="J22" s="11" t="s">
        <v>241</v>
      </c>
      <c r="K22" s="11">
        <v>1.8649</v>
      </c>
      <c r="L22" s="11">
        <v>1.4811000000000001</v>
      </c>
      <c r="M22" s="11">
        <v>6.3080999999999996</v>
      </c>
      <c r="N22" s="11">
        <v>0.26490000000000002</v>
      </c>
    </row>
    <row r="23" spans="2:14" ht="15" customHeight="1" x14ac:dyDescent="0.25">
      <c r="B23" s="6" t="s">
        <v>270</v>
      </c>
      <c r="C23" s="7" t="s">
        <v>271</v>
      </c>
      <c r="D23" s="6" t="s">
        <v>240</v>
      </c>
      <c r="E23" s="6" t="s">
        <v>240</v>
      </c>
      <c r="F23" s="8">
        <v>5.4</v>
      </c>
      <c r="G23" s="9">
        <v>1</v>
      </c>
      <c r="H23" s="9">
        <v>17</v>
      </c>
      <c r="I23" s="10">
        <v>1</v>
      </c>
      <c r="J23" s="11" t="s">
        <v>241</v>
      </c>
      <c r="K23" s="11" t="s">
        <v>241</v>
      </c>
      <c r="L23" s="11" t="s">
        <v>241</v>
      </c>
      <c r="M23" s="11">
        <v>3.9746999999999999</v>
      </c>
      <c r="N23" s="11">
        <v>0.26190000000000002</v>
      </c>
    </row>
    <row r="24" spans="2:14" ht="15" customHeight="1" x14ac:dyDescent="0.25">
      <c r="B24" s="6" t="s">
        <v>272</v>
      </c>
      <c r="C24" s="7" t="s">
        <v>273</v>
      </c>
      <c r="D24" s="6" t="s">
        <v>240</v>
      </c>
      <c r="E24" s="6" t="s">
        <v>240</v>
      </c>
      <c r="F24" s="8">
        <v>20.9</v>
      </c>
      <c r="G24" s="9">
        <v>6</v>
      </c>
      <c r="H24" s="9">
        <v>58</v>
      </c>
      <c r="I24" s="10">
        <v>1</v>
      </c>
      <c r="J24" s="11" t="s">
        <v>241</v>
      </c>
      <c r="K24" s="11">
        <v>2.698</v>
      </c>
      <c r="L24" s="11">
        <v>1.4145000000000001</v>
      </c>
      <c r="M24" s="11">
        <v>11.1852</v>
      </c>
      <c r="N24" s="11">
        <v>0.3407</v>
      </c>
    </row>
    <row r="25" spans="2:14" ht="15" customHeight="1" x14ac:dyDescent="0.25">
      <c r="B25" s="6" t="s">
        <v>274</v>
      </c>
      <c r="C25" s="7" t="s">
        <v>275</v>
      </c>
      <c r="D25" s="6" t="s">
        <v>240</v>
      </c>
      <c r="E25" s="6" t="s">
        <v>240</v>
      </c>
      <c r="F25" s="8">
        <v>8.3000000000000007</v>
      </c>
      <c r="G25" s="9">
        <v>2</v>
      </c>
      <c r="H25" s="9">
        <v>26</v>
      </c>
      <c r="I25" s="10">
        <v>1.1000000000000001</v>
      </c>
      <c r="J25" s="11" t="s">
        <v>241</v>
      </c>
      <c r="K25" s="11">
        <v>2.5135000000000001</v>
      </c>
      <c r="L25" s="11">
        <v>1.3811</v>
      </c>
      <c r="M25" s="11">
        <v>5.2758000000000003</v>
      </c>
      <c r="N25" s="11">
        <v>0.26379999999999998</v>
      </c>
    </row>
    <row r="26" spans="2:14" ht="15" customHeight="1" x14ac:dyDescent="0.25">
      <c r="B26" s="6" t="s">
        <v>276</v>
      </c>
      <c r="C26" s="7" t="s">
        <v>277</v>
      </c>
      <c r="D26" s="6" t="s">
        <v>240</v>
      </c>
      <c r="E26" s="6" t="s">
        <v>240</v>
      </c>
      <c r="F26" s="8">
        <v>3.3</v>
      </c>
      <c r="G26" s="9">
        <v>1</v>
      </c>
      <c r="H26" s="9">
        <v>10</v>
      </c>
      <c r="I26" s="10">
        <v>1.24</v>
      </c>
      <c r="J26" s="11" t="s">
        <v>241</v>
      </c>
      <c r="K26" s="11" t="s">
        <v>241</v>
      </c>
      <c r="L26" s="11" t="s">
        <v>241</v>
      </c>
      <c r="M26" s="11">
        <v>2.7448000000000001</v>
      </c>
      <c r="N26" s="11">
        <v>0.32040000000000002</v>
      </c>
    </row>
    <row r="27" spans="2:14" ht="15" customHeight="1" x14ac:dyDescent="0.25">
      <c r="B27" s="6" t="s">
        <v>278</v>
      </c>
      <c r="C27" s="7" t="s">
        <v>279</v>
      </c>
      <c r="D27" s="6" t="s">
        <v>240</v>
      </c>
      <c r="E27" s="6" t="s">
        <v>240</v>
      </c>
      <c r="F27" s="8">
        <v>11.8</v>
      </c>
      <c r="G27" s="9">
        <v>3</v>
      </c>
      <c r="H27" s="9">
        <v>35</v>
      </c>
      <c r="I27" s="10">
        <v>1</v>
      </c>
      <c r="J27" s="11" t="s">
        <v>241</v>
      </c>
      <c r="K27" s="11">
        <v>1.3479000000000001</v>
      </c>
      <c r="L27" s="11">
        <v>1.7088000000000001</v>
      </c>
      <c r="M27" s="11">
        <v>6.4743000000000004</v>
      </c>
      <c r="N27" s="11">
        <v>0.2782</v>
      </c>
    </row>
    <row r="28" spans="2:14" ht="15" customHeight="1" x14ac:dyDescent="0.25">
      <c r="B28" s="6" t="s">
        <v>280</v>
      </c>
      <c r="C28" s="7" t="s">
        <v>281</v>
      </c>
      <c r="D28" s="6" t="s">
        <v>240</v>
      </c>
      <c r="E28" s="6" t="s">
        <v>240</v>
      </c>
      <c r="F28" s="8">
        <v>5.4</v>
      </c>
      <c r="G28" s="9">
        <v>2</v>
      </c>
      <c r="H28" s="9">
        <v>20</v>
      </c>
      <c r="I28" s="10">
        <v>1</v>
      </c>
      <c r="J28" s="11" t="s">
        <v>241</v>
      </c>
      <c r="K28" s="11">
        <v>1.0448</v>
      </c>
      <c r="L28" s="11">
        <v>1.3948</v>
      </c>
      <c r="M28" s="11">
        <v>3.8344</v>
      </c>
      <c r="N28" s="11">
        <v>0.253</v>
      </c>
    </row>
    <row r="29" spans="2:14" ht="15" customHeight="1" x14ac:dyDescent="0.25">
      <c r="B29" s="6" t="s">
        <v>282</v>
      </c>
      <c r="C29" s="7" t="s">
        <v>283</v>
      </c>
      <c r="D29" s="6" t="s">
        <v>240</v>
      </c>
      <c r="E29" s="6" t="s">
        <v>240</v>
      </c>
      <c r="F29" s="8">
        <v>2.7</v>
      </c>
      <c r="G29" s="9">
        <v>1</v>
      </c>
      <c r="H29" s="9">
        <v>8</v>
      </c>
      <c r="I29" s="10">
        <v>1</v>
      </c>
      <c r="J29" s="11" t="s">
        <v>241</v>
      </c>
      <c r="K29" s="11" t="s">
        <v>241</v>
      </c>
      <c r="L29" s="11" t="s">
        <v>241</v>
      </c>
      <c r="M29" s="11">
        <v>2.4542999999999999</v>
      </c>
      <c r="N29" s="11">
        <v>0.26350000000000001</v>
      </c>
    </row>
    <row r="30" spans="2:14" ht="15" customHeight="1" x14ac:dyDescent="0.25">
      <c r="B30" s="6" t="s">
        <v>284</v>
      </c>
      <c r="C30" s="7" t="s">
        <v>285</v>
      </c>
      <c r="D30" s="6" t="s">
        <v>240</v>
      </c>
      <c r="E30" s="6" t="s">
        <v>240</v>
      </c>
      <c r="F30" s="8">
        <v>1</v>
      </c>
      <c r="G30" s="9">
        <v>1</v>
      </c>
      <c r="H30" s="9">
        <v>3</v>
      </c>
      <c r="I30" s="10">
        <v>1</v>
      </c>
      <c r="J30" s="11" t="s">
        <v>241</v>
      </c>
      <c r="K30" s="11" t="s">
        <v>241</v>
      </c>
      <c r="L30" s="11" t="s">
        <v>241</v>
      </c>
      <c r="M30" s="11">
        <v>0.45679999999999998</v>
      </c>
      <c r="N30" s="11">
        <v>0.16439999999999999</v>
      </c>
    </row>
    <row r="31" spans="2:14" ht="15" customHeight="1" x14ac:dyDescent="0.25">
      <c r="B31" s="6" t="s">
        <v>286</v>
      </c>
      <c r="C31" s="7" t="s">
        <v>287</v>
      </c>
      <c r="D31" s="6" t="s">
        <v>240</v>
      </c>
      <c r="E31" s="6" t="s">
        <v>240</v>
      </c>
      <c r="F31" s="8">
        <v>19.5</v>
      </c>
      <c r="G31" s="9">
        <v>6</v>
      </c>
      <c r="H31" s="9">
        <v>59</v>
      </c>
      <c r="I31" s="10">
        <v>0.83</v>
      </c>
      <c r="J31" s="11" t="s">
        <v>241</v>
      </c>
      <c r="K31" s="11">
        <v>1.4537</v>
      </c>
      <c r="L31" s="11">
        <v>1.1613</v>
      </c>
      <c r="M31" s="11">
        <v>8.4214000000000002</v>
      </c>
      <c r="N31" s="11">
        <v>0.2261</v>
      </c>
    </row>
    <row r="32" spans="2:14" ht="15" customHeight="1" x14ac:dyDescent="0.25">
      <c r="B32" s="6" t="s">
        <v>288</v>
      </c>
      <c r="C32" s="7" t="s">
        <v>289</v>
      </c>
      <c r="D32" s="6" t="s">
        <v>290</v>
      </c>
      <c r="E32" s="6" t="s">
        <v>240</v>
      </c>
      <c r="F32" s="8">
        <v>6.7</v>
      </c>
      <c r="G32" s="9">
        <v>1</v>
      </c>
      <c r="H32" s="9">
        <v>18</v>
      </c>
      <c r="I32" s="10">
        <v>1</v>
      </c>
      <c r="J32" s="11">
        <v>0.85399999999999998</v>
      </c>
      <c r="K32" s="11" t="s">
        <v>241</v>
      </c>
      <c r="L32" s="11" t="s">
        <v>241</v>
      </c>
      <c r="M32" s="11">
        <v>3.1898</v>
      </c>
      <c r="N32" s="11">
        <v>0.2505</v>
      </c>
    </row>
    <row r="33" spans="2:14" ht="15" customHeight="1" x14ac:dyDescent="0.25">
      <c r="B33" s="6" t="s">
        <v>291</v>
      </c>
      <c r="C33" s="7" t="s">
        <v>292</v>
      </c>
      <c r="D33" s="6" t="s">
        <v>240</v>
      </c>
      <c r="E33" s="6" t="s">
        <v>240</v>
      </c>
      <c r="F33" s="8">
        <v>1.3</v>
      </c>
      <c r="G33" s="9">
        <v>1</v>
      </c>
      <c r="H33" s="9">
        <v>4</v>
      </c>
      <c r="I33" s="10">
        <v>1.43</v>
      </c>
      <c r="J33" s="11" t="s">
        <v>241</v>
      </c>
      <c r="K33" s="11" t="s">
        <v>241</v>
      </c>
      <c r="L33" s="11" t="s">
        <v>241</v>
      </c>
      <c r="M33" s="11">
        <v>0.92069999999999996</v>
      </c>
      <c r="N33" s="11">
        <v>0.29060000000000002</v>
      </c>
    </row>
    <row r="34" spans="2:14" ht="15" customHeight="1" x14ac:dyDescent="0.25">
      <c r="B34" s="6" t="s">
        <v>293</v>
      </c>
      <c r="C34" s="7" t="s">
        <v>294</v>
      </c>
      <c r="D34" s="6" t="s">
        <v>240</v>
      </c>
      <c r="E34" s="6" t="s">
        <v>240</v>
      </c>
      <c r="F34" s="8">
        <v>13.7</v>
      </c>
      <c r="G34" s="9">
        <v>4</v>
      </c>
      <c r="H34" s="9">
        <v>41</v>
      </c>
      <c r="I34" s="10">
        <v>1.4</v>
      </c>
      <c r="J34" s="11" t="s">
        <v>241</v>
      </c>
      <c r="K34" s="11">
        <v>0.89970000000000006</v>
      </c>
      <c r="L34" s="11">
        <v>1.044</v>
      </c>
      <c r="M34" s="11">
        <v>5.0754999999999999</v>
      </c>
      <c r="N34" s="11">
        <v>0.2344</v>
      </c>
    </row>
    <row r="35" spans="2:14" ht="15" customHeight="1" x14ac:dyDescent="0.25">
      <c r="B35" s="6" t="s">
        <v>295</v>
      </c>
      <c r="C35" s="7" t="s">
        <v>296</v>
      </c>
      <c r="D35" s="6" t="s">
        <v>240</v>
      </c>
      <c r="E35" s="6" t="s">
        <v>240</v>
      </c>
      <c r="F35" s="8">
        <v>1.6</v>
      </c>
      <c r="G35" s="9">
        <v>1</v>
      </c>
      <c r="H35" s="9">
        <v>5</v>
      </c>
      <c r="I35" s="10">
        <v>1.24</v>
      </c>
      <c r="J35" s="11" t="s">
        <v>241</v>
      </c>
      <c r="K35" s="11" t="s">
        <v>241</v>
      </c>
      <c r="L35" s="11" t="s">
        <v>241</v>
      </c>
      <c r="M35" s="11">
        <v>1.0591999999999999</v>
      </c>
      <c r="N35" s="11">
        <v>0.29360000000000003</v>
      </c>
    </row>
    <row r="36" spans="2:14" ht="15" customHeight="1" x14ac:dyDescent="0.25">
      <c r="B36" s="6" t="s">
        <v>297</v>
      </c>
      <c r="C36" s="7" t="s">
        <v>298</v>
      </c>
      <c r="D36" s="6" t="s">
        <v>240</v>
      </c>
      <c r="E36" s="6" t="s">
        <v>240</v>
      </c>
      <c r="F36" s="8">
        <v>10.6</v>
      </c>
      <c r="G36" s="9">
        <v>3</v>
      </c>
      <c r="H36" s="9">
        <v>28</v>
      </c>
      <c r="I36" s="10">
        <v>1</v>
      </c>
      <c r="J36" s="11" t="s">
        <v>241</v>
      </c>
      <c r="K36" s="11">
        <v>1.2322</v>
      </c>
      <c r="L36" s="11">
        <v>2.0714999999999999</v>
      </c>
      <c r="M36" s="11">
        <v>7.4466000000000001</v>
      </c>
      <c r="N36" s="11">
        <v>0.30919999999999997</v>
      </c>
    </row>
    <row r="37" spans="2:14" ht="15" customHeight="1" x14ac:dyDescent="0.25">
      <c r="B37" s="6" t="s">
        <v>299</v>
      </c>
      <c r="C37" s="7" t="s">
        <v>300</v>
      </c>
      <c r="D37" s="6" t="s">
        <v>240</v>
      </c>
      <c r="E37" s="6" t="s">
        <v>240</v>
      </c>
      <c r="F37" s="8">
        <v>4.2</v>
      </c>
      <c r="G37" s="9">
        <v>1</v>
      </c>
      <c r="H37" s="9">
        <v>12</v>
      </c>
      <c r="I37" s="10">
        <v>1</v>
      </c>
      <c r="J37" s="11" t="s">
        <v>241</v>
      </c>
      <c r="K37" s="11" t="s">
        <v>241</v>
      </c>
      <c r="L37" s="11" t="s">
        <v>241</v>
      </c>
      <c r="M37" s="11">
        <v>4.2523</v>
      </c>
      <c r="N37" s="11">
        <v>0.25729999999999997</v>
      </c>
    </row>
    <row r="38" spans="2:14" ht="15" customHeight="1" x14ac:dyDescent="0.25">
      <c r="B38" s="6" t="s">
        <v>301</v>
      </c>
      <c r="C38" s="7" t="s">
        <v>302</v>
      </c>
      <c r="D38" s="6" t="s">
        <v>240</v>
      </c>
      <c r="E38" s="6" t="s">
        <v>240</v>
      </c>
      <c r="F38" s="8">
        <v>1</v>
      </c>
      <c r="G38" s="9">
        <v>1</v>
      </c>
      <c r="H38" s="9">
        <v>1</v>
      </c>
      <c r="I38" s="10">
        <v>1.35</v>
      </c>
      <c r="J38" s="11" t="s">
        <v>241</v>
      </c>
      <c r="K38" s="11" t="s">
        <v>241</v>
      </c>
      <c r="L38" s="11" t="s">
        <v>241</v>
      </c>
      <c r="M38" s="11">
        <v>0.19339999999999999</v>
      </c>
      <c r="N38" s="11" t="s">
        <v>241</v>
      </c>
    </row>
    <row r="39" spans="2:14" ht="15" customHeight="1" x14ac:dyDescent="0.25">
      <c r="B39" s="6" t="s">
        <v>303</v>
      </c>
      <c r="C39" s="7" t="s">
        <v>304</v>
      </c>
      <c r="D39" s="6" t="s">
        <v>240</v>
      </c>
      <c r="E39" s="6" t="s">
        <v>240</v>
      </c>
      <c r="F39" s="8">
        <v>7</v>
      </c>
      <c r="G39" s="9">
        <v>1</v>
      </c>
      <c r="H39" s="9">
        <v>17</v>
      </c>
      <c r="I39" s="10">
        <v>1</v>
      </c>
      <c r="J39" s="11" t="s">
        <v>241</v>
      </c>
      <c r="K39" s="11" t="s">
        <v>241</v>
      </c>
      <c r="L39" s="11" t="s">
        <v>241</v>
      </c>
      <c r="M39" s="11">
        <v>2.7675000000000001</v>
      </c>
      <c r="N39" s="11">
        <v>0.3367</v>
      </c>
    </row>
    <row r="40" spans="2:14" ht="15" customHeight="1" x14ac:dyDescent="0.25">
      <c r="B40" s="6" t="s">
        <v>305</v>
      </c>
      <c r="C40" s="7" t="s">
        <v>306</v>
      </c>
      <c r="D40" s="6" t="s">
        <v>240</v>
      </c>
      <c r="E40" s="6" t="s">
        <v>240</v>
      </c>
      <c r="F40" s="8">
        <v>3.5</v>
      </c>
      <c r="G40" s="9">
        <v>1</v>
      </c>
      <c r="H40" s="9">
        <v>11</v>
      </c>
      <c r="I40" s="10">
        <v>0.8</v>
      </c>
      <c r="J40" s="11" t="s">
        <v>241</v>
      </c>
      <c r="K40" s="11" t="s">
        <v>241</v>
      </c>
      <c r="L40" s="11" t="s">
        <v>241</v>
      </c>
      <c r="M40" s="11">
        <v>1.7817000000000001</v>
      </c>
      <c r="N40" s="11">
        <v>0.34849999999999998</v>
      </c>
    </row>
    <row r="41" spans="2:14" ht="15" customHeight="1" x14ac:dyDescent="0.25">
      <c r="B41" s="6" t="s">
        <v>307</v>
      </c>
      <c r="C41" s="7" t="s">
        <v>308</v>
      </c>
      <c r="D41" s="6" t="s">
        <v>240</v>
      </c>
      <c r="E41" s="6" t="s">
        <v>240</v>
      </c>
      <c r="F41" s="8">
        <v>14.2</v>
      </c>
      <c r="G41" s="9">
        <v>4</v>
      </c>
      <c r="H41" s="9">
        <v>43</v>
      </c>
      <c r="I41" s="10">
        <v>1.32</v>
      </c>
      <c r="J41" s="11" t="s">
        <v>241</v>
      </c>
      <c r="K41" s="11">
        <v>0.15720000000000001</v>
      </c>
      <c r="L41" s="11">
        <v>1.8127</v>
      </c>
      <c r="M41" s="11">
        <v>7.4080000000000004</v>
      </c>
      <c r="N41" s="11">
        <v>0.34610000000000002</v>
      </c>
    </row>
    <row r="42" spans="2:14" ht="15" customHeight="1" x14ac:dyDescent="0.25">
      <c r="B42" s="6" t="s">
        <v>309</v>
      </c>
      <c r="C42" s="7" t="s">
        <v>310</v>
      </c>
      <c r="D42" s="6" t="s">
        <v>240</v>
      </c>
      <c r="E42" s="6" t="s">
        <v>240</v>
      </c>
      <c r="F42" s="8">
        <v>6.8</v>
      </c>
      <c r="G42" s="9">
        <v>2</v>
      </c>
      <c r="H42" s="9">
        <v>22</v>
      </c>
      <c r="I42" s="10">
        <v>1.42</v>
      </c>
      <c r="J42" s="11" t="s">
        <v>241</v>
      </c>
      <c r="K42" s="11">
        <v>3.6400000000000002E-2</v>
      </c>
      <c r="L42" s="11">
        <v>2.0655000000000001</v>
      </c>
      <c r="M42" s="11">
        <v>4.1673999999999998</v>
      </c>
      <c r="N42" s="11">
        <v>0.28420000000000001</v>
      </c>
    </row>
    <row r="43" spans="2:14" ht="15" customHeight="1" x14ac:dyDescent="0.25">
      <c r="B43" s="6" t="s">
        <v>311</v>
      </c>
      <c r="C43" s="7" t="s">
        <v>312</v>
      </c>
      <c r="D43" s="6" t="s">
        <v>240</v>
      </c>
      <c r="E43" s="6" t="s">
        <v>240</v>
      </c>
      <c r="F43" s="8">
        <v>3.1</v>
      </c>
      <c r="G43" s="9">
        <v>1</v>
      </c>
      <c r="H43" s="9">
        <v>9</v>
      </c>
      <c r="I43" s="10">
        <v>1</v>
      </c>
      <c r="J43" s="11" t="s">
        <v>241</v>
      </c>
      <c r="K43" s="11" t="s">
        <v>241</v>
      </c>
      <c r="L43" s="11" t="s">
        <v>241</v>
      </c>
      <c r="M43" s="11">
        <v>1.9866999999999999</v>
      </c>
      <c r="N43" s="11">
        <v>0.3498</v>
      </c>
    </row>
    <row r="44" spans="2:14" ht="15" customHeight="1" x14ac:dyDescent="0.25">
      <c r="B44" s="6" t="s">
        <v>313</v>
      </c>
      <c r="C44" s="7" t="s">
        <v>314</v>
      </c>
      <c r="D44" s="6" t="s">
        <v>240</v>
      </c>
      <c r="E44" s="6" t="s">
        <v>240</v>
      </c>
      <c r="F44" s="8">
        <v>1</v>
      </c>
      <c r="G44" s="9">
        <v>1</v>
      </c>
      <c r="H44" s="9">
        <v>3</v>
      </c>
      <c r="I44" s="10">
        <v>1</v>
      </c>
      <c r="J44" s="11" t="s">
        <v>241</v>
      </c>
      <c r="K44" s="11" t="s">
        <v>241</v>
      </c>
      <c r="L44" s="11" t="s">
        <v>241</v>
      </c>
      <c r="M44" s="11">
        <v>0.39539999999999997</v>
      </c>
      <c r="N44" s="11">
        <v>0.31169999999999998</v>
      </c>
    </row>
    <row r="45" spans="2:14" ht="15" customHeight="1" x14ac:dyDescent="0.25">
      <c r="B45" s="6" t="s">
        <v>315</v>
      </c>
      <c r="C45" s="7" t="s">
        <v>316</v>
      </c>
      <c r="D45" s="6" t="s">
        <v>240</v>
      </c>
      <c r="E45" s="6" t="s">
        <v>240</v>
      </c>
      <c r="F45" s="8">
        <v>14.4</v>
      </c>
      <c r="G45" s="9">
        <v>4</v>
      </c>
      <c r="H45" s="9">
        <v>40</v>
      </c>
      <c r="I45" s="10">
        <v>1</v>
      </c>
      <c r="J45" s="11" t="s">
        <v>241</v>
      </c>
      <c r="K45" s="11">
        <v>0</v>
      </c>
      <c r="L45" s="11">
        <v>0.92259999999999998</v>
      </c>
      <c r="M45" s="11">
        <v>3.6905999999999999</v>
      </c>
      <c r="N45" s="11">
        <v>0.2059</v>
      </c>
    </row>
    <row r="46" spans="2:14" ht="15" customHeight="1" x14ac:dyDescent="0.25">
      <c r="B46" s="6" t="s">
        <v>317</v>
      </c>
      <c r="C46" s="7" t="s">
        <v>318</v>
      </c>
      <c r="D46" s="6" t="s">
        <v>240</v>
      </c>
      <c r="E46" s="6" t="s">
        <v>240</v>
      </c>
      <c r="F46" s="8">
        <v>6.7</v>
      </c>
      <c r="G46" s="9">
        <v>2</v>
      </c>
      <c r="H46" s="9">
        <v>19</v>
      </c>
      <c r="I46" s="10">
        <v>1</v>
      </c>
      <c r="J46" s="11" t="s">
        <v>241</v>
      </c>
      <c r="K46" s="11">
        <v>0</v>
      </c>
      <c r="L46" s="11">
        <v>0.86670000000000003</v>
      </c>
      <c r="M46" s="11">
        <v>1.7333000000000001</v>
      </c>
      <c r="N46" s="11">
        <v>0.20050000000000001</v>
      </c>
    </row>
    <row r="47" spans="2:14" ht="15" customHeight="1" x14ac:dyDescent="0.25">
      <c r="B47" s="6" t="s">
        <v>319</v>
      </c>
      <c r="C47" s="7" t="s">
        <v>320</v>
      </c>
      <c r="D47" s="6" t="s">
        <v>240</v>
      </c>
      <c r="E47" s="6" t="s">
        <v>240</v>
      </c>
      <c r="F47" s="8">
        <v>10.199999999999999</v>
      </c>
      <c r="G47" s="9">
        <v>3</v>
      </c>
      <c r="H47" s="9">
        <v>31</v>
      </c>
      <c r="I47" s="10">
        <v>1</v>
      </c>
      <c r="J47" s="11" t="s">
        <v>241</v>
      </c>
      <c r="K47" s="11">
        <v>0</v>
      </c>
      <c r="L47" s="11">
        <v>0.92920000000000003</v>
      </c>
      <c r="M47" s="11">
        <v>2.7875000000000001</v>
      </c>
      <c r="N47" s="11">
        <v>0.22770000000000001</v>
      </c>
    </row>
    <row r="48" spans="2:14" ht="15" customHeight="1" x14ac:dyDescent="0.25">
      <c r="B48" s="6" t="s">
        <v>321</v>
      </c>
      <c r="C48" s="7" t="s">
        <v>322</v>
      </c>
      <c r="D48" s="6" t="s">
        <v>290</v>
      </c>
      <c r="E48" s="6" t="s">
        <v>240</v>
      </c>
      <c r="F48" s="8">
        <v>4.7</v>
      </c>
      <c r="G48" s="9">
        <v>1</v>
      </c>
      <c r="H48" s="9">
        <v>14</v>
      </c>
      <c r="I48" s="10">
        <v>1</v>
      </c>
      <c r="J48" s="11">
        <v>0.13619999999999999</v>
      </c>
      <c r="K48" s="11" t="s">
        <v>241</v>
      </c>
      <c r="L48" s="11" t="s">
        <v>241</v>
      </c>
      <c r="M48" s="11">
        <v>1.1474</v>
      </c>
      <c r="N48" s="11">
        <v>0.22850000000000001</v>
      </c>
    </row>
    <row r="49" spans="2:14" ht="15" customHeight="1" x14ac:dyDescent="0.25">
      <c r="B49" s="6" t="s">
        <v>323</v>
      </c>
      <c r="C49" s="7" t="s">
        <v>324</v>
      </c>
      <c r="D49" s="6" t="s">
        <v>240</v>
      </c>
      <c r="E49" s="6" t="s">
        <v>240</v>
      </c>
      <c r="F49" s="8">
        <v>1.3</v>
      </c>
      <c r="G49" s="9">
        <v>1</v>
      </c>
      <c r="H49" s="9">
        <v>4</v>
      </c>
      <c r="I49" s="10">
        <v>1.65</v>
      </c>
      <c r="J49" s="11" t="s">
        <v>241</v>
      </c>
      <c r="K49" s="11" t="s">
        <v>241</v>
      </c>
      <c r="L49" s="11" t="s">
        <v>241</v>
      </c>
      <c r="M49" s="11">
        <v>0.32369999999999999</v>
      </c>
      <c r="N49" s="11">
        <v>0.2286</v>
      </c>
    </row>
    <row r="50" spans="2:14" ht="15" customHeight="1" x14ac:dyDescent="0.25">
      <c r="B50" s="6" t="s">
        <v>325</v>
      </c>
      <c r="C50" s="7" t="s">
        <v>326</v>
      </c>
      <c r="D50" s="6" t="s">
        <v>240</v>
      </c>
      <c r="E50" s="6" t="s">
        <v>240</v>
      </c>
      <c r="F50" s="8">
        <v>9.8000000000000007</v>
      </c>
      <c r="G50" s="9">
        <v>3</v>
      </c>
      <c r="H50" s="9">
        <v>30</v>
      </c>
      <c r="I50" s="10">
        <v>1.08</v>
      </c>
      <c r="J50" s="11" t="s">
        <v>241</v>
      </c>
      <c r="K50" s="11">
        <v>0</v>
      </c>
      <c r="L50" s="11">
        <v>1.0593999999999999</v>
      </c>
      <c r="M50" s="11">
        <v>3.1783000000000001</v>
      </c>
      <c r="N50" s="11">
        <v>0.2621</v>
      </c>
    </row>
    <row r="51" spans="2:14" ht="15" customHeight="1" x14ac:dyDescent="0.25">
      <c r="B51" s="6" t="s">
        <v>327</v>
      </c>
      <c r="C51" s="7" t="s">
        <v>328</v>
      </c>
      <c r="D51" s="6" t="s">
        <v>290</v>
      </c>
      <c r="E51" s="6" t="s">
        <v>240</v>
      </c>
      <c r="F51" s="8">
        <v>4.8</v>
      </c>
      <c r="G51" s="9">
        <v>1</v>
      </c>
      <c r="H51" s="9">
        <v>14</v>
      </c>
      <c r="I51" s="10">
        <v>1.36</v>
      </c>
      <c r="J51" s="11">
        <v>0.43159999999999998</v>
      </c>
      <c r="K51" s="11" t="s">
        <v>241</v>
      </c>
      <c r="L51" s="11" t="s">
        <v>241</v>
      </c>
      <c r="M51" s="11">
        <v>1.298</v>
      </c>
      <c r="N51" s="11">
        <v>0.23769999999999999</v>
      </c>
    </row>
    <row r="52" spans="2:14" ht="15" customHeight="1" x14ac:dyDescent="0.25">
      <c r="B52" s="6" t="s">
        <v>329</v>
      </c>
      <c r="C52" s="7" t="s">
        <v>330</v>
      </c>
      <c r="D52" s="6" t="s">
        <v>240</v>
      </c>
      <c r="E52" s="6" t="s">
        <v>240</v>
      </c>
      <c r="F52" s="8">
        <v>12.9</v>
      </c>
      <c r="G52" s="9">
        <v>3</v>
      </c>
      <c r="H52" s="9">
        <v>36</v>
      </c>
      <c r="I52" s="10">
        <v>1.69</v>
      </c>
      <c r="J52" s="11" t="s">
        <v>241</v>
      </c>
      <c r="K52" s="11">
        <v>0</v>
      </c>
      <c r="L52" s="11">
        <v>1.2036</v>
      </c>
      <c r="M52" s="11">
        <v>3.6107999999999998</v>
      </c>
      <c r="N52" s="11">
        <v>0.23219999999999999</v>
      </c>
    </row>
    <row r="53" spans="2:14" ht="15" customHeight="1" x14ac:dyDescent="0.25">
      <c r="B53" s="6" t="s">
        <v>331</v>
      </c>
      <c r="C53" s="7" t="s">
        <v>332</v>
      </c>
      <c r="D53" s="6" t="s">
        <v>290</v>
      </c>
      <c r="E53" s="6" t="s">
        <v>240</v>
      </c>
      <c r="F53" s="8">
        <v>6.3</v>
      </c>
      <c r="G53" s="9">
        <v>1</v>
      </c>
      <c r="H53" s="9">
        <v>18</v>
      </c>
      <c r="I53" s="10">
        <v>1.99</v>
      </c>
      <c r="J53" s="11">
        <v>1.6863999999999999</v>
      </c>
      <c r="K53" s="11" t="s">
        <v>241</v>
      </c>
      <c r="L53" s="11" t="s">
        <v>241</v>
      </c>
      <c r="M53" s="11">
        <v>1.4071</v>
      </c>
      <c r="N53" s="11">
        <v>0.20549999999999999</v>
      </c>
    </row>
    <row r="54" spans="2:14" ht="15" customHeight="1" x14ac:dyDescent="0.25">
      <c r="B54" s="6" t="s">
        <v>333</v>
      </c>
      <c r="C54" s="7" t="s">
        <v>334</v>
      </c>
      <c r="D54" s="6" t="s">
        <v>290</v>
      </c>
      <c r="E54" s="6" t="s">
        <v>240</v>
      </c>
      <c r="F54" s="8">
        <v>3.9</v>
      </c>
      <c r="G54" s="9">
        <v>1</v>
      </c>
      <c r="H54" s="9">
        <v>11</v>
      </c>
      <c r="I54" s="10">
        <v>1.52</v>
      </c>
      <c r="J54" s="11">
        <v>0.17469999999999999</v>
      </c>
      <c r="K54" s="11" t="s">
        <v>241</v>
      </c>
      <c r="L54" s="11" t="s">
        <v>241</v>
      </c>
      <c r="M54" s="11">
        <v>0.96760000000000002</v>
      </c>
      <c r="N54" s="11">
        <v>0.23350000000000001</v>
      </c>
    </row>
    <row r="55" spans="2:14" ht="15" customHeight="1" x14ac:dyDescent="0.25">
      <c r="B55" s="6" t="s">
        <v>335</v>
      </c>
      <c r="C55" s="7" t="s">
        <v>336</v>
      </c>
      <c r="D55" s="6" t="s">
        <v>290</v>
      </c>
      <c r="E55" s="6" t="s">
        <v>240</v>
      </c>
      <c r="F55" s="8">
        <v>8.1</v>
      </c>
      <c r="G55" s="9">
        <v>2</v>
      </c>
      <c r="H55" s="9">
        <v>20</v>
      </c>
      <c r="I55" s="10">
        <v>1.56</v>
      </c>
      <c r="J55" s="11">
        <v>0.26150000000000001</v>
      </c>
      <c r="K55" s="11">
        <v>0</v>
      </c>
      <c r="L55" s="11">
        <v>1.0448999999999999</v>
      </c>
      <c r="M55" s="11">
        <v>2.0899000000000001</v>
      </c>
      <c r="N55" s="11">
        <v>0.23849999999999999</v>
      </c>
    </row>
    <row r="56" spans="2:14" ht="15" customHeight="1" x14ac:dyDescent="0.25">
      <c r="B56" s="6" t="s">
        <v>337</v>
      </c>
      <c r="C56" s="7" t="s">
        <v>338</v>
      </c>
      <c r="D56" s="6" t="s">
        <v>240</v>
      </c>
      <c r="E56" s="6" t="s">
        <v>240</v>
      </c>
      <c r="F56" s="8">
        <v>1</v>
      </c>
      <c r="G56" s="9">
        <v>1</v>
      </c>
      <c r="H56" s="9">
        <v>3</v>
      </c>
      <c r="I56" s="10">
        <v>1</v>
      </c>
      <c r="J56" s="11" t="s">
        <v>241</v>
      </c>
      <c r="K56" s="11" t="s">
        <v>241</v>
      </c>
      <c r="L56" s="11" t="s">
        <v>241</v>
      </c>
      <c r="M56" s="11">
        <v>0.2944</v>
      </c>
      <c r="N56" s="11">
        <v>0.12590000000000001</v>
      </c>
    </row>
    <row r="57" spans="2:14" ht="15" customHeight="1" x14ac:dyDescent="0.25">
      <c r="B57" s="6" t="s">
        <v>339</v>
      </c>
      <c r="C57" s="7" t="s">
        <v>340</v>
      </c>
      <c r="D57" s="6" t="s">
        <v>240</v>
      </c>
      <c r="E57" s="6" t="s">
        <v>240</v>
      </c>
      <c r="F57" s="8">
        <v>4.9000000000000004</v>
      </c>
      <c r="G57" s="9">
        <v>1</v>
      </c>
      <c r="H57" s="9">
        <v>15</v>
      </c>
      <c r="I57" s="10">
        <v>1</v>
      </c>
      <c r="J57" s="11" t="s">
        <v>241</v>
      </c>
      <c r="K57" s="11" t="s">
        <v>241</v>
      </c>
      <c r="L57" s="11" t="s">
        <v>241</v>
      </c>
      <c r="M57" s="11">
        <v>1.3520000000000001</v>
      </c>
      <c r="N57" s="11">
        <v>0.24349999999999999</v>
      </c>
    </row>
    <row r="58" spans="2:14" ht="15" customHeight="1" x14ac:dyDescent="0.25">
      <c r="B58" s="6" t="s">
        <v>341</v>
      </c>
      <c r="C58" s="7" t="s">
        <v>342</v>
      </c>
      <c r="D58" s="6" t="s">
        <v>240</v>
      </c>
      <c r="E58" s="6" t="s">
        <v>240</v>
      </c>
      <c r="F58" s="8">
        <v>1.8</v>
      </c>
      <c r="G58" s="9">
        <v>1</v>
      </c>
      <c r="H58" s="9">
        <v>5</v>
      </c>
      <c r="I58" s="10">
        <v>1</v>
      </c>
      <c r="J58" s="11" t="s">
        <v>241</v>
      </c>
      <c r="K58" s="11" t="s">
        <v>241</v>
      </c>
      <c r="L58" s="11" t="s">
        <v>241</v>
      </c>
      <c r="M58" s="11">
        <v>0.46079999999999999</v>
      </c>
      <c r="N58" s="11">
        <v>0.24929999999999999</v>
      </c>
    </row>
    <row r="59" spans="2:14" ht="15" customHeight="1" x14ac:dyDescent="0.25">
      <c r="B59" s="6" t="s">
        <v>343</v>
      </c>
      <c r="C59" s="7" t="s">
        <v>344</v>
      </c>
      <c r="D59" s="6" t="s">
        <v>240</v>
      </c>
      <c r="E59" s="6" t="s">
        <v>240</v>
      </c>
      <c r="F59" s="8">
        <v>15</v>
      </c>
      <c r="G59" s="9">
        <v>4</v>
      </c>
      <c r="H59" s="9">
        <v>45</v>
      </c>
      <c r="I59" s="10">
        <v>1</v>
      </c>
      <c r="J59" s="11" t="s">
        <v>241</v>
      </c>
      <c r="K59" s="11">
        <v>0</v>
      </c>
      <c r="L59" s="11">
        <v>1.1326000000000001</v>
      </c>
      <c r="M59" s="11">
        <v>4.5303000000000004</v>
      </c>
      <c r="N59" s="11">
        <v>0.25040000000000001</v>
      </c>
    </row>
    <row r="60" spans="2:14" ht="15" customHeight="1" x14ac:dyDescent="0.25">
      <c r="B60" s="6" t="s">
        <v>345</v>
      </c>
      <c r="C60" s="7" t="s">
        <v>346</v>
      </c>
      <c r="D60" s="6" t="s">
        <v>240</v>
      </c>
      <c r="E60" s="6" t="s">
        <v>240</v>
      </c>
      <c r="F60" s="8">
        <v>7.3</v>
      </c>
      <c r="G60" s="9">
        <v>2</v>
      </c>
      <c r="H60" s="9">
        <v>22</v>
      </c>
      <c r="I60" s="10">
        <v>1</v>
      </c>
      <c r="J60" s="11" t="s">
        <v>241</v>
      </c>
      <c r="K60" s="11">
        <v>0</v>
      </c>
      <c r="L60" s="11">
        <v>1.1104000000000001</v>
      </c>
      <c r="M60" s="11">
        <v>2.2208000000000001</v>
      </c>
      <c r="N60" s="11">
        <v>0.24079999999999999</v>
      </c>
    </row>
    <row r="61" spans="2:14" ht="15" customHeight="1" x14ac:dyDescent="0.25">
      <c r="B61" s="6" t="s">
        <v>347</v>
      </c>
      <c r="C61" s="7" t="s">
        <v>348</v>
      </c>
      <c r="D61" s="6" t="s">
        <v>290</v>
      </c>
      <c r="E61" s="6" t="s">
        <v>240</v>
      </c>
      <c r="F61" s="8">
        <v>4.0999999999999996</v>
      </c>
      <c r="G61" s="9">
        <v>1</v>
      </c>
      <c r="H61" s="9">
        <v>12</v>
      </c>
      <c r="I61" s="10">
        <v>2</v>
      </c>
      <c r="J61" s="11">
        <v>0.28899999999999998</v>
      </c>
      <c r="K61" s="11" t="s">
        <v>241</v>
      </c>
      <c r="L61" s="11" t="s">
        <v>241</v>
      </c>
      <c r="M61" s="11">
        <v>1.2031000000000001</v>
      </c>
      <c r="N61" s="11">
        <v>0.25130000000000002</v>
      </c>
    </row>
    <row r="62" spans="2:14" ht="15" customHeight="1" x14ac:dyDescent="0.25">
      <c r="B62" s="6" t="s">
        <v>349</v>
      </c>
      <c r="C62" s="7" t="s">
        <v>350</v>
      </c>
      <c r="D62" s="6" t="s">
        <v>240</v>
      </c>
      <c r="E62" s="6" t="s">
        <v>240</v>
      </c>
      <c r="F62" s="8">
        <v>2</v>
      </c>
      <c r="G62" s="9">
        <v>1</v>
      </c>
      <c r="H62" s="9">
        <v>4</v>
      </c>
      <c r="I62" s="10">
        <v>1</v>
      </c>
      <c r="J62" s="11" t="s">
        <v>241</v>
      </c>
      <c r="K62" s="11" t="s">
        <v>241</v>
      </c>
      <c r="L62" s="11" t="s">
        <v>241</v>
      </c>
      <c r="M62" s="11">
        <v>0.77349999999999997</v>
      </c>
      <c r="N62" s="11" t="s">
        <v>241</v>
      </c>
    </row>
    <row r="63" spans="2:14" ht="15" customHeight="1" x14ac:dyDescent="0.25">
      <c r="B63" s="6" t="s">
        <v>351</v>
      </c>
      <c r="C63" s="7" t="s">
        <v>352</v>
      </c>
      <c r="D63" s="6" t="s">
        <v>240</v>
      </c>
      <c r="E63" s="6" t="s">
        <v>240</v>
      </c>
      <c r="F63" s="8">
        <v>6.9</v>
      </c>
      <c r="G63" s="9">
        <v>2</v>
      </c>
      <c r="H63" s="9">
        <v>21</v>
      </c>
      <c r="I63" s="10">
        <v>1.21</v>
      </c>
      <c r="J63" s="11" t="s">
        <v>241</v>
      </c>
      <c r="K63" s="11">
        <v>0</v>
      </c>
      <c r="L63" s="11">
        <v>1.0835999999999999</v>
      </c>
      <c r="M63" s="11">
        <v>2.1671999999999998</v>
      </c>
      <c r="N63" s="11">
        <v>0.2382</v>
      </c>
    </row>
    <row r="64" spans="2:14" ht="15" customHeight="1" x14ac:dyDescent="0.25">
      <c r="B64" s="6" t="s">
        <v>353</v>
      </c>
      <c r="C64" s="7" t="s">
        <v>354</v>
      </c>
      <c r="D64" s="6" t="s">
        <v>290</v>
      </c>
      <c r="E64" s="6" t="s">
        <v>240</v>
      </c>
      <c r="F64" s="8">
        <v>3.1</v>
      </c>
      <c r="G64" s="9">
        <v>1</v>
      </c>
      <c r="H64" s="9">
        <v>9</v>
      </c>
      <c r="I64" s="10">
        <v>1.87</v>
      </c>
      <c r="J64" s="11">
        <v>0.16309999999999999</v>
      </c>
      <c r="K64" s="11" t="s">
        <v>241</v>
      </c>
      <c r="L64" s="11" t="s">
        <v>241</v>
      </c>
      <c r="M64" s="11">
        <v>0.82430000000000003</v>
      </c>
      <c r="N64" s="11">
        <v>0.25130000000000002</v>
      </c>
    </row>
    <row r="65" spans="2:14" ht="15" customHeight="1" x14ac:dyDescent="0.25">
      <c r="B65" s="6" t="s">
        <v>355</v>
      </c>
      <c r="C65" s="7" t="s">
        <v>356</v>
      </c>
      <c r="D65" s="6" t="s">
        <v>240</v>
      </c>
      <c r="E65" s="6" t="s">
        <v>240</v>
      </c>
      <c r="F65" s="8">
        <v>11</v>
      </c>
      <c r="G65" s="9">
        <v>3</v>
      </c>
      <c r="H65" s="9">
        <v>35</v>
      </c>
      <c r="I65" s="10">
        <v>1.2</v>
      </c>
      <c r="J65" s="11" t="s">
        <v>241</v>
      </c>
      <c r="K65" s="11">
        <v>0</v>
      </c>
      <c r="L65" s="11">
        <v>1.284</v>
      </c>
      <c r="M65" s="11">
        <v>3.8519000000000001</v>
      </c>
      <c r="N65" s="11">
        <v>0.24560000000000001</v>
      </c>
    </row>
    <row r="66" spans="2:14" ht="15" customHeight="1" x14ac:dyDescent="0.25">
      <c r="B66" s="6" t="s">
        <v>357</v>
      </c>
      <c r="C66" s="7" t="s">
        <v>358</v>
      </c>
      <c r="D66" s="6" t="s">
        <v>240</v>
      </c>
      <c r="E66" s="6" t="s">
        <v>240</v>
      </c>
      <c r="F66" s="8">
        <v>2.7</v>
      </c>
      <c r="G66" s="9">
        <v>1</v>
      </c>
      <c r="H66" s="9">
        <v>8</v>
      </c>
      <c r="I66" s="10">
        <v>1.87</v>
      </c>
      <c r="J66" s="11" t="s">
        <v>241</v>
      </c>
      <c r="K66" s="11" t="s">
        <v>241</v>
      </c>
      <c r="L66" s="11" t="s">
        <v>241</v>
      </c>
      <c r="M66" s="11">
        <v>0.48459999999999998</v>
      </c>
      <c r="N66" s="11">
        <v>0.23219999999999999</v>
      </c>
    </row>
    <row r="67" spans="2:14" ht="15" customHeight="1" x14ac:dyDescent="0.25">
      <c r="B67" s="6" t="s">
        <v>359</v>
      </c>
      <c r="C67" s="7" t="s">
        <v>360</v>
      </c>
      <c r="D67" s="6" t="s">
        <v>240</v>
      </c>
      <c r="E67" s="6" t="s">
        <v>240</v>
      </c>
      <c r="F67" s="8">
        <v>5.8</v>
      </c>
      <c r="G67" s="9">
        <v>1</v>
      </c>
      <c r="H67" s="9">
        <v>18</v>
      </c>
      <c r="I67" s="10">
        <v>1</v>
      </c>
      <c r="J67" s="11" t="s">
        <v>241</v>
      </c>
      <c r="K67" s="11" t="s">
        <v>241</v>
      </c>
      <c r="L67" s="11" t="s">
        <v>241</v>
      </c>
      <c r="M67" s="11">
        <v>1.7103999999999999</v>
      </c>
      <c r="N67" s="11">
        <v>0.28670000000000001</v>
      </c>
    </row>
    <row r="68" spans="2:14" ht="15" customHeight="1" x14ac:dyDescent="0.25">
      <c r="B68" s="6" t="s">
        <v>361</v>
      </c>
      <c r="C68" s="7" t="s">
        <v>362</v>
      </c>
      <c r="D68" s="6" t="s">
        <v>240</v>
      </c>
      <c r="E68" s="6" t="s">
        <v>240</v>
      </c>
      <c r="F68" s="8">
        <v>2.7</v>
      </c>
      <c r="G68" s="9">
        <v>1</v>
      </c>
      <c r="H68" s="9">
        <v>9</v>
      </c>
      <c r="I68" s="10">
        <v>1.1499999999999999</v>
      </c>
      <c r="J68" s="11" t="s">
        <v>241</v>
      </c>
      <c r="K68" s="11" t="s">
        <v>241</v>
      </c>
      <c r="L68" s="11" t="s">
        <v>241</v>
      </c>
      <c r="M68" s="11">
        <v>0.76090000000000002</v>
      </c>
      <c r="N68" s="11">
        <v>0.252</v>
      </c>
    </row>
    <row r="69" spans="2:14" ht="15" customHeight="1" x14ac:dyDescent="0.25">
      <c r="B69" s="6" t="s">
        <v>363</v>
      </c>
      <c r="C69" s="7" t="s">
        <v>364</v>
      </c>
      <c r="D69" s="6" t="s">
        <v>240</v>
      </c>
      <c r="E69" s="6" t="s">
        <v>240</v>
      </c>
      <c r="F69" s="8">
        <v>6</v>
      </c>
      <c r="G69" s="9">
        <v>1</v>
      </c>
      <c r="H69" s="9">
        <v>17</v>
      </c>
      <c r="I69" s="10">
        <v>1</v>
      </c>
      <c r="J69" s="11" t="s">
        <v>241</v>
      </c>
      <c r="K69" s="11" t="s">
        <v>241</v>
      </c>
      <c r="L69" s="11" t="s">
        <v>241</v>
      </c>
      <c r="M69" s="11">
        <v>1.5931</v>
      </c>
      <c r="N69" s="11">
        <v>0.26500000000000001</v>
      </c>
    </row>
    <row r="70" spans="2:14" ht="15" customHeight="1" x14ac:dyDescent="0.25">
      <c r="B70" s="6" t="s">
        <v>365</v>
      </c>
      <c r="C70" s="7" t="s">
        <v>366</v>
      </c>
      <c r="D70" s="6" t="s">
        <v>240</v>
      </c>
      <c r="E70" s="6" t="s">
        <v>240</v>
      </c>
      <c r="F70" s="8">
        <v>1.7</v>
      </c>
      <c r="G70" s="9">
        <v>1</v>
      </c>
      <c r="H70" s="9">
        <v>5</v>
      </c>
      <c r="I70" s="10">
        <v>1.5</v>
      </c>
      <c r="J70" s="11" t="s">
        <v>241</v>
      </c>
      <c r="K70" s="11" t="s">
        <v>241</v>
      </c>
      <c r="L70" s="11" t="s">
        <v>241</v>
      </c>
      <c r="M70" s="11">
        <v>0.37530000000000002</v>
      </c>
      <c r="N70" s="11">
        <v>0.26950000000000002</v>
      </c>
    </row>
    <row r="71" spans="2:14" ht="15" customHeight="1" x14ac:dyDescent="0.25">
      <c r="B71" s="6" t="s">
        <v>367</v>
      </c>
      <c r="C71" s="7" t="s">
        <v>368</v>
      </c>
      <c r="D71" s="6" t="s">
        <v>240</v>
      </c>
      <c r="E71" s="6" t="s">
        <v>240</v>
      </c>
      <c r="F71" s="8">
        <v>1.3</v>
      </c>
      <c r="G71" s="9">
        <v>1</v>
      </c>
      <c r="H71" s="9">
        <v>4</v>
      </c>
      <c r="I71" s="10">
        <v>0.92</v>
      </c>
      <c r="J71" s="11" t="s">
        <v>241</v>
      </c>
      <c r="K71" s="11" t="s">
        <v>241</v>
      </c>
      <c r="L71" s="11" t="s">
        <v>241</v>
      </c>
      <c r="M71" s="11">
        <v>0.38140000000000002</v>
      </c>
      <c r="N71" s="11">
        <v>0.28689999999999999</v>
      </c>
    </row>
    <row r="72" spans="2:14" ht="15" customHeight="1" x14ac:dyDescent="0.25">
      <c r="B72" s="6" t="s">
        <v>369</v>
      </c>
      <c r="C72" s="7" t="s">
        <v>370</v>
      </c>
      <c r="D72" s="6" t="s">
        <v>290</v>
      </c>
      <c r="E72" s="6" t="s">
        <v>240</v>
      </c>
      <c r="F72" s="8">
        <v>5</v>
      </c>
      <c r="G72" s="9">
        <v>1</v>
      </c>
      <c r="H72" s="9">
        <v>15</v>
      </c>
      <c r="I72" s="10">
        <v>1.31</v>
      </c>
      <c r="J72" s="11">
        <v>0.23780000000000001</v>
      </c>
      <c r="K72" s="11" t="s">
        <v>241</v>
      </c>
      <c r="L72" s="11" t="s">
        <v>241</v>
      </c>
      <c r="M72" s="11">
        <v>1.4218999999999999</v>
      </c>
      <c r="N72" s="11">
        <v>0.27479999999999999</v>
      </c>
    </row>
    <row r="73" spans="2:14" ht="15" customHeight="1" x14ac:dyDescent="0.25">
      <c r="B73" s="6" t="s">
        <v>371</v>
      </c>
      <c r="C73" s="7" t="s">
        <v>372</v>
      </c>
      <c r="D73" s="6" t="s">
        <v>240</v>
      </c>
      <c r="E73" s="6" t="s">
        <v>240</v>
      </c>
      <c r="F73" s="8">
        <v>1.5</v>
      </c>
      <c r="G73" s="9">
        <v>1</v>
      </c>
      <c r="H73" s="9">
        <v>4</v>
      </c>
      <c r="I73" s="10">
        <v>1.75</v>
      </c>
      <c r="J73" s="11" t="s">
        <v>241</v>
      </c>
      <c r="K73" s="11" t="s">
        <v>241</v>
      </c>
      <c r="L73" s="11" t="s">
        <v>241</v>
      </c>
      <c r="M73" s="11">
        <v>0.34889999999999999</v>
      </c>
      <c r="N73" s="11">
        <v>0.25669999999999998</v>
      </c>
    </row>
    <row r="74" spans="2:14" ht="15" customHeight="1" x14ac:dyDescent="0.25">
      <c r="B74" s="6" t="s">
        <v>373</v>
      </c>
      <c r="C74" s="7" t="s">
        <v>374</v>
      </c>
      <c r="D74" s="6" t="s">
        <v>290</v>
      </c>
      <c r="E74" s="6" t="s">
        <v>240</v>
      </c>
      <c r="F74" s="8">
        <v>3.3</v>
      </c>
      <c r="G74" s="9">
        <v>1</v>
      </c>
      <c r="H74" s="9">
        <v>12</v>
      </c>
      <c r="I74" s="10">
        <v>1.39</v>
      </c>
      <c r="J74" s="11">
        <v>0.14430000000000001</v>
      </c>
      <c r="K74" s="11" t="s">
        <v>241</v>
      </c>
      <c r="L74" s="11" t="s">
        <v>241</v>
      </c>
      <c r="M74" s="11">
        <v>0.87819999999999998</v>
      </c>
      <c r="N74" s="11">
        <v>0.2447</v>
      </c>
    </row>
    <row r="75" spans="2:14" ht="15" customHeight="1" x14ac:dyDescent="0.25">
      <c r="B75" s="6" t="s">
        <v>375</v>
      </c>
      <c r="C75" s="7" t="s">
        <v>376</v>
      </c>
      <c r="D75" s="6" t="s">
        <v>290</v>
      </c>
      <c r="E75" s="6" t="s">
        <v>240</v>
      </c>
      <c r="F75" s="8">
        <v>1.6</v>
      </c>
      <c r="G75" s="9">
        <v>1</v>
      </c>
      <c r="H75" s="9">
        <v>9</v>
      </c>
      <c r="I75" s="10">
        <v>1.47</v>
      </c>
      <c r="J75" s="11">
        <v>0.11070000000000001</v>
      </c>
      <c r="K75" s="11" t="s">
        <v>241</v>
      </c>
      <c r="L75" s="11" t="s">
        <v>241</v>
      </c>
      <c r="M75" s="11">
        <v>0.39019999999999999</v>
      </c>
      <c r="N75" s="11">
        <v>0.25530000000000003</v>
      </c>
    </row>
    <row r="76" spans="2:14" ht="15" customHeight="1" x14ac:dyDescent="0.25">
      <c r="B76" s="6" t="s">
        <v>377</v>
      </c>
      <c r="C76" s="7" t="s">
        <v>378</v>
      </c>
      <c r="D76" s="6" t="s">
        <v>240</v>
      </c>
      <c r="E76" s="6" t="s">
        <v>240</v>
      </c>
      <c r="F76" s="8">
        <v>10.8</v>
      </c>
      <c r="G76" s="9">
        <v>3</v>
      </c>
      <c r="H76" s="9">
        <v>32</v>
      </c>
      <c r="I76" s="10">
        <v>1.44</v>
      </c>
      <c r="J76" s="11" t="s">
        <v>241</v>
      </c>
      <c r="K76" s="11">
        <v>0</v>
      </c>
      <c r="L76" s="11">
        <v>1.0749</v>
      </c>
      <c r="M76" s="11">
        <v>3.2248000000000001</v>
      </c>
      <c r="N76" s="11">
        <v>0.25650000000000001</v>
      </c>
    </row>
    <row r="77" spans="2:14" ht="15" customHeight="1" x14ac:dyDescent="0.25">
      <c r="B77" s="6" t="s">
        <v>379</v>
      </c>
      <c r="C77" s="7" t="s">
        <v>380</v>
      </c>
      <c r="D77" s="6" t="s">
        <v>240</v>
      </c>
      <c r="E77" s="6" t="s">
        <v>240</v>
      </c>
      <c r="F77" s="8">
        <v>3.1</v>
      </c>
      <c r="G77" s="9">
        <v>1</v>
      </c>
      <c r="H77" s="9">
        <v>9</v>
      </c>
      <c r="I77" s="10">
        <v>1.38</v>
      </c>
      <c r="J77" s="11" t="s">
        <v>241</v>
      </c>
      <c r="K77" s="11" t="s">
        <v>241</v>
      </c>
      <c r="L77" s="11" t="s">
        <v>241</v>
      </c>
      <c r="M77" s="11">
        <v>0.83479999999999999</v>
      </c>
      <c r="N77" s="11">
        <v>0.25190000000000001</v>
      </c>
    </row>
    <row r="78" spans="2:14" ht="15" customHeight="1" x14ac:dyDescent="0.25">
      <c r="B78" s="6" t="s">
        <v>381</v>
      </c>
      <c r="C78" s="7" t="s">
        <v>382</v>
      </c>
      <c r="D78" s="6" t="s">
        <v>240</v>
      </c>
      <c r="E78" s="6" t="s">
        <v>240</v>
      </c>
      <c r="F78" s="8">
        <v>1.6</v>
      </c>
      <c r="G78" s="9">
        <v>1</v>
      </c>
      <c r="H78" s="9">
        <v>4</v>
      </c>
      <c r="I78" s="10">
        <v>1</v>
      </c>
      <c r="J78" s="11" t="s">
        <v>241</v>
      </c>
      <c r="K78" s="11" t="s">
        <v>241</v>
      </c>
      <c r="L78" s="11" t="s">
        <v>241</v>
      </c>
      <c r="M78" s="11">
        <v>0.58099999999999996</v>
      </c>
      <c r="N78" s="11" t="s">
        <v>241</v>
      </c>
    </row>
    <row r="79" spans="2:14" ht="15" customHeight="1" x14ac:dyDescent="0.25">
      <c r="B79" s="6" t="s">
        <v>383</v>
      </c>
      <c r="C79" s="7" t="s">
        <v>384</v>
      </c>
      <c r="D79" s="6" t="s">
        <v>240</v>
      </c>
      <c r="E79" s="6" t="s">
        <v>240</v>
      </c>
      <c r="F79" s="8">
        <v>4.2</v>
      </c>
      <c r="G79" s="9">
        <v>1</v>
      </c>
      <c r="H79" s="9">
        <v>12</v>
      </c>
      <c r="I79" s="10">
        <v>1.06</v>
      </c>
      <c r="J79" s="11" t="s">
        <v>241</v>
      </c>
      <c r="K79" s="11" t="s">
        <v>241</v>
      </c>
      <c r="L79" s="11" t="s">
        <v>241</v>
      </c>
      <c r="M79" s="11">
        <v>1.2058</v>
      </c>
      <c r="N79" s="11">
        <v>0.26469999999999999</v>
      </c>
    </row>
    <row r="80" spans="2:14" ht="15" customHeight="1" x14ac:dyDescent="0.25">
      <c r="B80" s="6" t="s">
        <v>385</v>
      </c>
      <c r="C80" s="7" t="s">
        <v>386</v>
      </c>
      <c r="D80" s="6" t="s">
        <v>240</v>
      </c>
      <c r="E80" s="6" t="s">
        <v>240</v>
      </c>
      <c r="F80" s="8">
        <v>1.5</v>
      </c>
      <c r="G80" s="9">
        <v>1</v>
      </c>
      <c r="H80" s="9">
        <v>4</v>
      </c>
      <c r="I80" s="10">
        <v>1.66</v>
      </c>
      <c r="J80" s="11" t="s">
        <v>241</v>
      </c>
      <c r="K80" s="11" t="s">
        <v>241</v>
      </c>
      <c r="L80" s="11" t="s">
        <v>241</v>
      </c>
      <c r="M80" s="11">
        <v>0.38550000000000001</v>
      </c>
      <c r="N80" s="11">
        <v>0.2571</v>
      </c>
    </row>
    <row r="81" spans="2:14" ht="15" customHeight="1" x14ac:dyDescent="0.25">
      <c r="B81" s="6" t="s">
        <v>387</v>
      </c>
      <c r="C81" s="7" t="s">
        <v>388</v>
      </c>
      <c r="D81" s="6" t="s">
        <v>290</v>
      </c>
      <c r="E81" s="6" t="s">
        <v>240</v>
      </c>
      <c r="F81" s="8">
        <v>5.0999999999999996</v>
      </c>
      <c r="G81" s="9">
        <v>1</v>
      </c>
      <c r="H81" s="9">
        <v>15</v>
      </c>
      <c r="I81" s="10">
        <v>0.95</v>
      </c>
      <c r="J81" s="11">
        <v>0.1643</v>
      </c>
      <c r="K81" s="11" t="s">
        <v>241</v>
      </c>
      <c r="L81" s="11" t="s">
        <v>241</v>
      </c>
      <c r="M81" s="11">
        <v>1.1620999999999999</v>
      </c>
      <c r="N81" s="11">
        <v>0.2107</v>
      </c>
    </row>
    <row r="82" spans="2:14" ht="15" customHeight="1" x14ac:dyDescent="0.25">
      <c r="B82" s="6" t="s">
        <v>389</v>
      </c>
      <c r="C82" s="7" t="s">
        <v>390</v>
      </c>
      <c r="D82" s="6" t="s">
        <v>240</v>
      </c>
      <c r="E82" s="6" t="s">
        <v>240</v>
      </c>
      <c r="F82" s="8">
        <v>1.1000000000000001</v>
      </c>
      <c r="G82" s="9">
        <v>1</v>
      </c>
      <c r="H82" s="9">
        <v>3</v>
      </c>
      <c r="I82" s="10">
        <v>0.81</v>
      </c>
      <c r="J82" s="11" t="s">
        <v>241</v>
      </c>
      <c r="K82" s="11" t="s">
        <v>241</v>
      </c>
      <c r="L82" s="11" t="s">
        <v>241</v>
      </c>
      <c r="M82" s="11">
        <v>0.18609999999999999</v>
      </c>
      <c r="N82" s="11">
        <v>0.1376</v>
      </c>
    </row>
    <row r="83" spans="2:14" ht="15" customHeight="1" x14ac:dyDescent="0.25">
      <c r="B83" s="6" t="s">
        <v>391</v>
      </c>
      <c r="C83" s="7" t="s">
        <v>392</v>
      </c>
      <c r="D83" s="6" t="s">
        <v>240</v>
      </c>
      <c r="E83" s="6" t="s">
        <v>240</v>
      </c>
      <c r="F83" s="8">
        <v>7.2</v>
      </c>
      <c r="G83" s="9">
        <v>2</v>
      </c>
      <c r="H83" s="9">
        <v>21</v>
      </c>
      <c r="I83" s="10">
        <v>0.89</v>
      </c>
      <c r="J83" s="11" t="s">
        <v>241</v>
      </c>
      <c r="K83" s="11">
        <v>0.1061</v>
      </c>
      <c r="L83" s="11">
        <v>1.052</v>
      </c>
      <c r="M83" s="11">
        <v>2.2101000000000002</v>
      </c>
      <c r="N83" s="11">
        <v>0.21490000000000001</v>
      </c>
    </row>
    <row r="84" spans="2:14" ht="15" customHeight="1" x14ac:dyDescent="0.25">
      <c r="B84" s="6" t="s">
        <v>393</v>
      </c>
      <c r="C84" s="7" t="s">
        <v>394</v>
      </c>
      <c r="D84" s="6" t="s">
        <v>290</v>
      </c>
      <c r="E84" s="6" t="s">
        <v>240</v>
      </c>
      <c r="F84" s="8">
        <v>3.7</v>
      </c>
      <c r="G84" s="9">
        <v>1</v>
      </c>
      <c r="H84" s="9">
        <v>12</v>
      </c>
      <c r="I84" s="10">
        <v>1.56</v>
      </c>
      <c r="J84" s="11">
        <v>0.19889999999999999</v>
      </c>
      <c r="K84" s="11" t="s">
        <v>241</v>
      </c>
      <c r="L84" s="11" t="s">
        <v>241</v>
      </c>
      <c r="M84" s="11">
        <v>0.88849999999999996</v>
      </c>
      <c r="N84" s="11">
        <v>0.2094</v>
      </c>
    </row>
    <row r="85" spans="2:14" ht="15" customHeight="1" x14ac:dyDescent="0.25">
      <c r="B85" s="6" t="s">
        <v>395</v>
      </c>
      <c r="C85" s="7" t="s">
        <v>396</v>
      </c>
      <c r="D85" s="6" t="s">
        <v>240</v>
      </c>
      <c r="E85" s="6" t="s">
        <v>240</v>
      </c>
      <c r="F85" s="8">
        <v>15.7</v>
      </c>
      <c r="G85" s="9">
        <v>4</v>
      </c>
      <c r="H85" s="9">
        <v>42</v>
      </c>
      <c r="I85" s="10">
        <v>1</v>
      </c>
      <c r="J85" s="11" t="s">
        <v>241</v>
      </c>
      <c r="K85" s="11">
        <v>0</v>
      </c>
      <c r="L85" s="11">
        <v>1.1927000000000001</v>
      </c>
      <c r="M85" s="11">
        <v>4.7708000000000004</v>
      </c>
      <c r="N85" s="11">
        <v>0.26869999999999999</v>
      </c>
    </row>
    <row r="86" spans="2:14" ht="15" customHeight="1" x14ac:dyDescent="0.25">
      <c r="B86" s="6" t="s">
        <v>397</v>
      </c>
      <c r="C86" s="7" t="s">
        <v>398</v>
      </c>
      <c r="D86" s="6" t="s">
        <v>240</v>
      </c>
      <c r="E86" s="6" t="s">
        <v>240</v>
      </c>
      <c r="F86" s="8">
        <v>7.3</v>
      </c>
      <c r="G86" s="9">
        <v>2</v>
      </c>
      <c r="H86" s="9">
        <v>22</v>
      </c>
      <c r="I86" s="10">
        <v>1</v>
      </c>
      <c r="J86" s="11" t="s">
        <v>241</v>
      </c>
      <c r="K86" s="11">
        <v>0</v>
      </c>
      <c r="L86" s="11">
        <v>1.0094000000000001</v>
      </c>
      <c r="M86" s="11">
        <v>2.0188999999999999</v>
      </c>
      <c r="N86" s="11">
        <v>0.2414</v>
      </c>
    </row>
    <row r="87" spans="2:14" ht="15" customHeight="1" x14ac:dyDescent="0.25">
      <c r="B87" s="6" t="s">
        <v>399</v>
      </c>
      <c r="C87" s="7" t="s">
        <v>400</v>
      </c>
      <c r="D87" s="6" t="s">
        <v>240</v>
      </c>
      <c r="E87" s="6" t="s">
        <v>240</v>
      </c>
      <c r="F87" s="8">
        <v>2.9</v>
      </c>
      <c r="G87" s="9">
        <v>1</v>
      </c>
      <c r="H87" s="9">
        <v>8</v>
      </c>
      <c r="I87" s="10">
        <v>1.1200000000000001</v>
      </c>
      <c r="J87" s="11" t="s">
        <v>241</v>
      </c>
      <c r="K87" s="11" t="s">
        <v>241</v>
      </c>
      <c r="L87" s="11" t="s">
        <v>241</v>
      </c>
      <c r="M87" s="11">
        <v>0.76739999999999997</v>
      </c>
      <c r="N87" s="11">
        <v>0.23180000000000001</v>
      </c>
    </row>
    <row r="88" spans="2:14" ht="15" customHeight="1" x14ac:dyDescent="0.25">
      <c r="B88" s="6" t="s">
        <v>401</v>
      </c>
      <c r="C88" s="7" t="s">
        <v>402</v>
      </c>
      <c r="D88" s="6" t="s">
        <v>240</v>
      </c>
      <c r="E88" s="6" t="s">
        <v>240</v>
      </c>
      <c r="F88" s="8">
        <v>16.5</v>
      </c>
      <c r="G88" s="9">
        <v>5</v>
      </c>
      <c r="H88" s="9">
        <v>51</v>
      </c>
      <c r="I88" s="10">
        <v>1</v>
      </c>
      <c r="J88" s="11" t="s">
        <v>241</v>
      </c>
      <c r="K88" s="11">
        <v>0</v>
      </c>
      <c r="L88" s="11">
        <v>1.1537999999999999</v>
      </c>
      <c r="M88" s="11">
        <v>5.7691999999999997</v>
      </c>
      <c r="N88" s="11">
        <v>0.29980000000000001</v>
      </c>
    </row>
    <row r="89" spans="2:14" ht="15" customHeight="1" x14ac:dyDescent="0.25">
      <c r="B89" s="6" t="s">
        <v>403</v>
      </c>
      <c r="C89" s="7" t="s">
        <v>404</v>
      </c>
      <c r="D89" s="6" t="s">
        <v>240</v>
      </c>
      <c r="E89" s="6" t="s">
        <v>240</v>
      </c>
      <c r="F89" s="8">
        <v>6.7</v>
      </c>
      <c r="G89" s="9">
        <v>2</v>
      </c>
      <c r="H89" s="9">
        <v>19</v>
      </c>
      <c r="I89" s="10">
        <v>1</v>
      </c>
      <c r="J89" s="11" t="s">
        <v>241</v>
      </c>
      <c r="K89" s="11">
        <v>7.6499999999999999E-2</v>
      </c>
      <c r="L89" s="11">
        <v>1.1305000000000001</v>
      </c>
      <c r="M89" s="11">
        <v>2.3374999999999999</v>
      </c>
      <c r="N89" s="11">
        <v>0.2737</v>
      </c>
    </row>
    <row r="90" spans="2:14" ht="15" customHeight="1" x14ac:dyDescent="0.25">
      <c r="B90" s="6" t="s">
        <v>405</v>
      </c>
      <c r="C90" s="7" t="s">
        <v>406</v>
      </c>
      <c r="D90" s="6" t="s">
        <v>240</v>
      </c>
      <c r="E90" s="6" t="s">
        <v>240</v>
      </c>
      <c r="F90" s="8">
        <v>3.4</v>
      </c>
      <c r="G90" s="9">
        <v>1</v>
      </c>
      <c r="H90" s="9">
        <v>10</v>
      </c>
      <c r="I90" s="10">
        <v>1</v>
      </c>
      <c r="J90" s="11" t="s">
        <v>241</v>
      </c>
      <c r="K90" s="11" t="s">
        <v>241</v>
      </c>
      <c r="L90" s="11" t="s">
        <v>241</v>
      </c>
      <c r="M90" s="11">
        <v>0.95689999999999997</v>
      </c>
      <c r="N90" s="11">
        <v>0.28139999999999998</v>
      </c>
    </row>
    <row r="91" spans="2:14" ht="15" customHeight="1" x14ac:dyDescent="0.25">
      <c r="B91" s="6" t="s">
        <v>407</v>
      </c>
      <c r="C91" s="7" t="s">
        <v>408</v>
      </c>
      <c r="D91" s="6" t="s">
        <v>240</v>
      </c>
      <c r="E91" s="6" t="s">
        <v>240</v>
      </c>
      <c r="F91" s="8">
        <v>2.5</v>
      </c>
      <c r="G91" s="9">
        <v>1</v>
      </c>
      <c r="H91" s="9">
        <v>7</v>
      </c>
      <c r="I91" s="10">
        <v>1</v>
      </c>
      <c r="J91" s="11" t="s">
        <v>241</v>
      </c>
      <c r="K91" s="11" t="s">
        <v>241</v>
      </c>
      <c r="L91" s="11" t="s">
        <v>241</v>
      </c>
      <c r="M91" s="11">
        <v>1.5367</v>
      </c>
      <c r="N91" s="11">
        <v>0.3841</v>
      </c>
    </row>
    <row r="92" spans="2:14" ht="15" customHeight="1" x14ac:dyDescent="0.25">
      <c r="B92" s="6" t="s">
        <v>409</v>
      </c>
      <c r="C92" s="7" t="s">
        <v>410</v>
      </c>
      <c r="D92" s="6" t="s">
        <v>240</v>
      </c>
      <c r="E92" s="6" t="s">
        <v>240</v>
      </c>
      <c r="F92" s="8">
        <v>5.8</v>
      </c>
      <c r="G92" s="9">
        <v>2</v>
      </c>
      <c r="H92" s="9">
        <v>19</v>
      </c>
      <c r="I92" s="10">
        <v>1.22</v>
      </c>
      <c r="J92" s="11" t="s">
        <v>241</v>
      </c>
      <c r="K92" s="11">
        <v>0.79210000000000003</v>
      </c>
      <c r="L92" s="11">
        <v>1.3512999999999999</v>
      </c>
      <c r="M92" s="11">
        <v>3.4946000000000002</v>
      </c>
      <c r="N92" s="11">
        <v>0.31390000000000001</v>
      </c>
    </row>
    <row r="93" spans="2:14" ht="15" customHeight="1" x14ac:dyDescent="0.25">
      <c r="B93" s="6" t="s">
        <v>411</v>
      </c>
      <c r="C93" s="7" t="s">
        <v>412</v>
      </c>
      <c r="D93" s="6" t="s">
        <v>240</v>
      </c>
      <c r="E93" s="6" t="s">
        <v>240</v>
      </c>
      <c r="F93" s="8">
        <v>1.7</v>
      </c>
      <c r="G93" s="9">
        <v>1</v>
      </c>
      <c r="H93" s="9">
        <v>5</v>
      </c>
      <c r="I93" s="10">
        <v>1.06</v>
      </c>
      <c r="J93" s="11" t="s">
        <v>241</v>
      </c>
      <c r="K93" s="11" t="s">
        <v>241</v>
      </c>
      <c r="L93" s="11" t="s">
        <v>241</v>
      </c>
      <c r="M93" s="11">
        <v>1.3172999999999999</v>
      </c>
      <c r="N93" s="11">
        <v>0.37480000000000002</v>
      </c>
    </row>
    <row r="94" spans="2:14" ht="15" customHeight="1" x14ac:dyDescent="0.25">
      <c r="B94" s="6" t="s">
        <v>413</v>
      </c>
      <c r="C94" s="7" t="s">
        <v>414</v>
      </c>
      <c r="D94" s="6" t="s">
        <v>240</v>
      </c>
      <c r="E94" s="6" t="s">
        <v>240</v>
      </c>
      <c r="F94" s="8">
        <v>1.4</v>
      </c>
      <c r="G94" s="9">
        <v>1</v>
      </c>
      <c r="H94" s="9">
        <v>4</v>
      </c>
      <c r="I94" s="10">
        <v>1.38</v>
      </c>
      <c r="J94" s="11" t="s">
        <v>241</v>
      </c>
      <c r="K94" s="11" t="s">
        <v>241</v>
      </c>
      <c r="L94" s="11" t="s">
        <v>241</v>
      </c>
      <c r="M94" s="11">
        <v>0.94710000000000005</v>
      </c>
      <c r="N94" s="11">
        <v>0.3826</v>
      </c>
    </row>
    <row r="95" spans="2:14" ht="15" customHeight="1" x14ac:dyDescent="0.25">
      <c r="B95" s="6" t="s">
        <v>415</v>
      </c>
      <c r="C95" s="7" t="s">
        <v>416</v>
      </c>
      <c r="D95" s="6" t="s">
        <v>240</v>
      </c>
      <c r="E95" s="6" t="s">
        <v>240</v>
      </c>
      <c r="F95" s="8">
        <v>1</v>
      </c>
      <c r="G95" s="9">
        <v>1</v>
      </c>
      <c r="H95" s="9">
        <v>3</v>
      </c>
      <c r="I95" s="10">
        <v>2</v>
      </c>
      <c r="J95" s="11" t="s">
        <v>241</v>
      </c>
      <c r="K95" s="11" t="s">
        <v>241</v>
      </c>
      <c r="L95" s="11" t="s">
        <v>241</v>
      </c>
      <c r="M95" s="11">
        <v>0.36259999999999998</v>
      </c>
      <c r="N95" s="11">
        <v>0.1762</v>
      </c>
    </row>
    <row r="96" spans="2:14" ht="15" customHeight="1" x14ac:dyDescent="0.25">
      <c r="B96" s="6" t="s">
        <v>417</v>
      </c>
      <c r="C96" s="7" t="s">
        <v>418</v>
      </c>
      <c r="D96" s="6" t="s">
        <v>240</v>
      </c>
      <c r="E96" s="6" t="s">
        <v>240</v>
      </c>
      <c r="F96" s="8">
        <v>4.7</v>
      </c>
      <c r="G96" s="9">
        <v>1</v>
      </c>
      <c r="H96" s="9">
        <v>17</v>
      </c>
      <c r="I96" s="10">
        <v>1</v>
      </c>
      <c r="J96" s="11" t="s">
        <v>241</v>
      </c>
      <c r="K96" s="11" t="s">
        <v>241</v>
      </c>
      <c r="L96" s="11" t="s">
        <v>241</v>
      </c>
      <c r="M96" s="11">
        <v>2.4432</v>
      </c>
      <c r="N96" s="11">
        <v>0.33079999999999998</v>
      </c>
    </row>
    <row r="97" spans="2:14" ht="15" customHeight="1" x14ac:dyDescent="0.25">
      <c r="B97" s="6" t="s">
        <v>419</v>
      </c>
      <c r="C97" s="7" t="s">
        <v>420</v>
      </c>
      <c r="D97" s="6" t="s">
        <v>240</v>
      </c>
      <c r="E97" s="6" t="s">
        <v>240</v>
      </c>
      <c r="F97" s="8">
        <v>1.3</v>
      </c>
      <c r="G97" s="9">
        <v>1</v>
      </c>
      <c r="H97" s="9">
        <v>4</v>
      </c>
      <c r="I97" s="10">
        <v>1</v>
      </c>
      <c r="J97" s="11" t="s">
        <v>241</v>
      </c>
      <c r="K97" s="11" t="s">
        <v>241</v>
      </c>
      <c r="L97" s="11" t="s">
        <v>241</v>
      </c>
      <c r="M97" s="11">
        <v>1.3127</v>
      </c>
      <c r="N97" s="11">
        <v>0.34899999999999998</v>
      </c>
    </row>
    <row r="98" spans="2:14" ht="15" customHeight="1" x14ac:dyDescent="0.25">
      <c r="B98" s="6" t="s">
        <v>421</v>
      </c>
      <c r="C98" s="7" t="s">
        <v>422</v>
      </c>
      <c r="D98" s="6" t="s">
        <v>240</v>
      </c>
      <c r="E98" s="6" t="s">
        <v>240</v>
      </c>
      <c r="F98" s="8">
        <v>1.1000000000000001</v>
      </c>
      <c r="G98" s="9">
        <v>1</v>
      </c>
      <c r="H98" s="9">
        <v>3</v>
      </c>
      <c r="I98" s="10">
        <v>1</v>
      </c>
      <c r="J98" s="11" t="s">
        <v>241</v>
      </c>
      <c r="K98" s="11" t="s">
        <v>241</v>
      </c>
      <c r="L98" s="11" t="s">
        <v>241</v>
      </c>
      <c r="M98" s="11">
        <v>0.95099999999999996</v>
      </c>
      <c r="N98" s="11">
        <v>0.374</v>
      </c>
    </row>
    <row r="99" spans="2:14" ht="15" customHeight="1" x14ac:dyDescent="0.25">
      <c r="B99" s="6" t="s">
        <v>423</v>
      </c>
      <c r="C99" s="7" t="s">
        <v>424</v>
      </c>
      <c r="D99" s="6" t="s">
        <v>240</v>
      </c>
      <c r="E99" s="6" t="s">
        <v>240</v>
      </c>
      <c r="F99" s="8">
        <v>1</v>
      </c>
      <c r="G99" s="9">
        <v>1</v>
      </c>
      <c r="H99" s="9">
        <v>3</v>
      </c>
      <c r="I99" s="10">
        <v>1.1200000000000001</v>
      </c>
      <c r="J99" s="11" t="s">
        <v>241</v>
      </c>
      <c r="K99" s="11" t="s">
        <v>241</v>
      </c>
      <c r="L99" s="11" t="s">
        <v>241</v>
      </c>
      <c r="M99" s="11">
        <v>0.89390000000000003</v>
      </c>
      <c r="N99" s="11">
        <v>0.37309999999999999</v>
      </c>
    </row>
    <row r="100" spans="2:14" ht="15" customHeight="1" x14ac:dyDescent="0.25">
      <c r="B100" s="6" t="s">
        <v>425</v>
      </c>
      <c r="C100" s="7" t="s">
        <v>426</v>
      </c>
      <c r="D100" s="6" t="s">
        <v>240</v>
      </c>
      <c r="E100" s="6" t="s">
        <v>240</v>
      </c>
      <c r="F100" s="8">
        <v>1.2</v>
      </c>
      <c r="G100" s="9">
        <v>1</v>
      </c>
      <c r="H100" s="9">
        <v>6</v>
      </c>
      <c r="I100" s="10">
        <v>1.06</v>
      </c>
      <c r="J100" s="11" t="s">
        <v>241</v>
      </c>
      <c r="K100" s="11" t="s">
        <v>241</v>
      </c>
      <c r="L100" s="11" t="s">
        <v>241</v>
      </c>
      <c r="M100" s="11">
        <v>0.72240000000000004</v>
      </c>
      <c r="N100" s="11">
        <v>0.28060000000000002</v>
      </c>
    </row>
    <row r="101" spans="2:14" ht="15" customHeight="1" x14ac:dyDescent="0.25">
      <c r="B101" s="6" t="s">
        <v>427</v>
      </c>
      <c r="C101" s="7" t="s">
        <v>428</v>
      </c>
      <c r="D101" s="6" t="s">
        <v>240</v>
      </c>
      <c r="E101" s="6" t="s">
        <v>240</v>
      </c>
      <c r="F101" s="8">
        <v>3.5</v>
      </c>
      <c r="G101" s="9">
        <v>1</v>
      </c>
      <c r="H101" s="9">
        <v>11</v>
      </c>
      <c r="I101" s="10">
        <v>1</v>
      </c>
      <c r="J101" s="11" t="s">
        <v>241</v>
      </c>
      <c r="K101" s="11" t="s">
        <v>241</v>
      </c>
      <c r="L101" s="11" t="s">
        <v>241</v>
      </c>
      <c r="M101" s="11">
        <v>1.4004000000000001</v>
      </c>
      <c r="N101" s="11">
        <v>0.27910000000000001</v>
      </c>
    </row>
    <row r="102" spans="2:14" ht="15" customHeight="1" x14ac:dyDescent="0.25">
      <c r="B102" s="6" t="s">
        <v>429</v>
      </c>
      <c r="C102" s="7" t="s">
        <v>430</v>
      </c>
      <c r="D102" s="6" t="s">
        <v>240</v>
      </c>
      <c r="E102" s="6" t="s">
        <v>240</v>
      </c>
      <c r="F102" s="8">
        <v>1</v>
      </c>
      <c r="G102" s="9">
        <v>1</v>
      </c>
      <c r="H102" s="9">
        <v>3</v>
      </c>
      <c r="I102" s="10">
        <v>1.43</v>
      </c>
      <c r="J102" s="11" t="s">
        <v>241</v>
      </c>
      <c r="K102" s="11" t="s">
        <v>241</v>
      </c>
      <c r="L102" s="11" t="s">
        <v>241</v>
      </c>
      <c r="M102" s="11">
        <v>0.60770000000000002</v>
      </c>
      <c r="N102" s="11">
        <v>0.2666</v>
      </c>
    </row>
    <row r="103" spans="2:14" ht="15" customHeight="1" x14ac:dyDescent="0.25">
      <c r="B103" s="6" t="s">
        <v>431</v>
      </c>
      <c r="C103" s="7" t="s">
        <v>432</v>
      </c>
      <c r="D103" s="6" t="s">
        <v>240</v>
      </c>
      <c r="E103" s="6" t="s">
        <v>240</v>
      </c>
      <c r="F103" s="8">
        <v>1.2</v>
      </c>
      <c r="G103" s="9">
        <v>1</v>
      </c>
      <c r="H103" s="9">
        <v>3</v>
      </c>
      <c r="I103" s="10">
        <v>1.1000000000000001</v>
      </c>
      <c r="J103" s="11" t="s">
        <v>241</v>
      </c>
      <c r="K103" s="11" t="s">
        <v>241</v>
      </c>
      <c r="L103" s="11" t="s">
        <v>241</v>
      </c>
      <c r="M103" s="11">
        <v>0.53300000000000003</v>
      </c>
      <c r="N103" s="11">
        <v>0.25519999999999998</v>
      </c>
    </row>
    <row r="104" spans="2:14" ht="15" customHeight="1" x14ac:dyDescent="0.25">
      <c r="B104" s="6" t="s">
        <v>433</v>
      </c>
      <c r="C104" s="7" t="s">
        <v>434</v>
      </c>
      <c r="D104" s="6" t="s">
        <v>240</v>
      </c>
      <c r="E104" s="6" t="s">
        <v>240</v>
      </c>
      <c r="F104" s="8">
        <v>6.2</v>
      </c>
      <c r="G104" s="9">
        <v>1</v>
      </c>
      <c r="H104" s="9">
        <v>15</v>
      </c>
      <c r="I104" s="10">
        <v>1</v>
      </c>
      <c r="J104" s="11" t="s">
        <v>241</v>
      </c>
      <c r="K104" s="11" t="s">
        <v>241</v>
      </c>
      <c r="L104" s="11" t="s">
        <v>241</v>
      </c>
      <c r="M104" s="11">
        <v>1.7504</v>
      </c>
      <c r="N104" s="11">
        <v>0.2218</v>
      </c>
    </row>
    <row r="105" spans="2:14" ht="15" customHeight="1" x14ac:dyDescent="0.25">
      <c r="B105" s="6" t="s">
        <v>435</v>
      </c>
      <c r="C105" s="7" t="s">
        <v>436</v>
      </c>
      <c r="D105" s="6" t="s">
        <v>240</v>
      </c>
      <c r="E105" s="6" t="s">
        <v>240</v>
      </c>
      <c r="F105" s="8">
        <v>1.2</v>
      </c>
      <c r="G105" s="9">
        <v>1</v>
      </c>
      <c r="H105" s="9">
        <v>4</v>
      </c>
      <c r="I105" s="10">
        <v>1.37</v>
      </c>
      <c r="J105" s="11" t="s">
        <v>241</v>
      </c>
      <c r="K105" s="11" t="s">
        <v>241</v>
      </c>
      <c r="L105" s="11" t="s">
        <v>241</v>
      </c>
      <c r="M105" s="11">
        <v>0.497</v>
      </c>
      <c r="N105" s="11">
        <v>0.23069999999999999</v>
      </c>
    </row>
    <row r="106" spans="2:14" ht="15" customHeight="1" x14ac:dyDescent="0.25">
      <c r="B106" s="6" t="s">
        <v>437</v>
      </c>
      <c r="C106" s="7" t="s">
        <v>438</v>
      </c>
      <c r="D106" s="6" t="s">
        <v>240</v>
      </c>
      <c r="E106" s="6" t="s">
        <v>240</v>
      </c>
      <c r="F106" s="8">
        <v>4.0999999999999996</v>
      </c>
      <c r="G106" s="9">
        <v>1</v>
      </c>
      <c r="H106" s="9">
        <v>11</v>
      </c>
      <c r="I106" s="10">
        <v>0.88</v>
      </c>
      <c r="J106" s="11" t="s">
        <v>241</v>
      </c>
      <c r="K106" s="11" t="s">
        <v>241</v>
      </c>
      <c r="L106" s="11" t="s">
        <v>241</v>
      </c>
      <c r="M106" s="11">
        <v>1.6382000000000001</v>
      </c>
      <c r="N106" s="11">
        <v>0.2762</v>
      </c>
    </row>
    <row r="107" spans="2:14" ht="15" customHeight="1" x14ac:dyDescent="0.25">
      <c r="B107" s="6" t="s">
        <v>439</v>
      </c>
      <c r="C107" s="7" t="s">
        <v>440</v>
      </c>
      <c r="D107" s="6" t="s">
        <v>240</v>
      </c>
      <c r="E107" s="6" t="s">
        <v>240</v>
      </c>
      <c r="F107" s="8">
        <v>1.1000000000000001</v>
      </c>
      <c r="G107" s="9">
        <v>1</v>
      </c>
      <c r="H107" s="9">
        <v>3</v>
      </c>
      <c r="I107" s="10">
        <v>1.45</v>
      </c>
      <c r="J107" s="11" t="s">
        <v>241</v>
      </c>
      <c r="K107" s="11" t="s">
        <v>241</v>
      </c>
      <c r="L107" s="11" t="s">
        <v>241</v>
      </c>
      <c r="M107" s="11">
        <v>0.78059999999999996</v>
      </c>
      <c r="N107" s="11">
        <v>0.30880000000000002</v>
      </c>
    </row>
    <row r="108" spans="2:14" ht="15" customHeight="1" x14ac:dyDescent="0.25">
      <c r="B108" s="6" t="s">
        <v>441</v>
      </c>
      <c r="C108" s="7" t="s">
        <v>442</v>
      </c>
      <c r="D108" s="6" t="s">
        <v>240</v>
      </c>
      <c r="E108" s="6" t="s">
        <v>240</v>
      </c>
      <c r="F108" s="8">
        <v>1</v>
      </c>
      <c r="G108" s="9">
        <v>1</v>
      </c>
      <c r="H108" s="9">
        <v>4</v>
      </c>
      <c r="I108" s="10">
        <v>1.93</v>
      </c>
      <c r="J108" s="11" t="s">
        <v>241</v>
      </c>
      <c r="K108" s="11" t="s">
        <v>241</v>
      </c>
      <c r="L108" s="11" t="s">
        <v>241</v>
      </c>
      <c r="M108" s="11">
        <v>0.53849999999999998</v>
      </c>
      <c r="N108" s="11">
        <v>0.25130000000000002</v>
      </c>
    </row>
    <row r="109" spans="2:14" ht="15" customHeight="1" x14ac:dyDescent="0.25">
      <c r="B109" s="6" t="s">
        <v>443</v>
      </c>
      <c r="C109" s="7" t="s">
        <v>444</v>
      </c>
      <c r="D109" s="6" t="s">
        <v>240</v>
      </c>
      <c r="E109" s="6" t="s">
        <v>240</v>
      </c>
      <c r="F109" s="8">
        <v>7.2</v>
      </c>
      <c r="G109" s="9">
        <v>2</v>
      </c>
      <c r="H109" s="9">
        <v>21</v>
      </c>
      <c r="I109" s="10">
        <v>0.85</v>
      </c>
      <c r="J109" s="11" t="s">
        <v>241</v>
      </c>
      <c r="K109" s="11">
        <v>0</v>
      </c>
      <c r="L109" s="11">
        <v>1.0691999999999999</v>
      </c>
      <c r="M109" s="11">
        <v>2.1383000000000001</v>
      </c>
      <c r="N109" s="11">
        <v>0.2772</v>
      </c>
    </row>
    <row r="110" spans="2:14" ht="15" customHeight="1" x14ac:dyDescent="0.25">
      <c r="B110" s="6" t="s">
        <v>445</v>
      </c>
      <c r="C110" s="7" t="s">
        <v>446</v>
      </c>
      <c r="D110" s="6" t="s">
        <v>240</v>
      </c>
      <c r="E110" s="6" t="s">
        <v>240</v>
      </c>
      <c r="F110" s="8">
        <v>2.8</v>
      </c>
      <c r="G110" s="9">
        <v>1</v>
      </c>
      <c r="H110" s="9">
        <v>9</v>
      </c>
      <c r="I110" s="10">
        <v>1.45</v>
      </c>
      <c r="J110" s="11" t="s">
        <v>241</v>
      </c>
      <c r="K110" s="11" t="s">
        <v>241</v>
      </c>
      <c r="L110" s="11" t="s">
        <v>241</v>
      </c>
      <c r="M110" s="11">
        <v>0.6794</v>
      </c>
      <c r="N110" s="11">
        <v>0.27500000000000002</v>
      </c>
    </row>
    <row r="111" spans="2:14" ht="15" customHeight="1" x14ac:dyDescent="0.25">
      <c r="B111" s="6" t="s">
        <v>447</v>
      </c>
      <c r="C111" s="7" t="s">
        <v>448</v>
      </c>
      <c r="D111" s="6" t="s">
        <v>290</v>
      </c>
      <c r="E111" s="6" t="s">
        <v>240</v>
      </c>
      <c r="F111" s="8">
        <v>4.7</v>
      </c>
      <c r="G111" s="9">
        <v>1</v>
      </c>
      <c r="H111" s="9">
        <v>14</v>
      </c>
      <c r="I111" s="10">
        <v>1.34</v>
      </c>
      <c r="J111" s="11">
        <v>0.35880000000000001</v>
      </c>
      <c r="K111" s="11" t="s">
        <v>241</v>
      </c>
      <c r="L111" s="11" t="s">
        <v>241</v>
      </c>
      <c r="M111" s="11">
        <v>1.3308</v>
      </c>
      <c r="N111" s="11">
        <v>0.25109999999999999</v>
      </c>
    </row>
    <row r="112" spans="2:14" ht="15" customHeight="1" x14ac:dyDescent="0.25">
      <c r="B112" s="6" t="s">
        <v>449</v>
      </c>
      <c r="C112" s="7" t="s">
        <v>450</v>
      </c>
      <c r="D112" s="6" t="s">
        <v>290</v>
      </c>
      <c r="E112" s="6" t="s">
        <v>240</v>
      </c>
      <c r="F112" s="8">
        <v>2.7</v>
      </c>
      <c r="G112" s="9">
        <v>1</v>
      </c>
      <c r="H112" s="9">
        <v>7</v>
      </c>
      <c r="I112" s="10">
        <v>1.98</v>
      </c>
      <c r="J112" s="11">
        <v>0.1741</v>
      </c>
      <c r="K112" s="11" t="s">
        <v>241</v>
      </c>
      <c r="L112" s="11" t="s">
        <v>241</v>
      </c>
      <c r="M112" s="11">
        <v>0.69940000000000002</v>
      </c>
      <c r="N112" s="11">
        <v>0.24840000000000001</v>
      </c>
    </row>
    <row r="113" spans="2:14" ht="15" customHeight="1" x14ac:dyDescent="0.25">
      <c r="B113" s="6" t="s">
        <v>451</v>
      </c>
      <c r="C113" s="7" t="s">
        <v>452</v>
      </c>
      <c r="D113" s="6" t="s">
        <v>290</v>
      </c>
      <c r="E113" s="6" t="s">
        <v>240</v>
      </c>
      <c r="F113" s="8">
        <v>5.6</v>
      </c>
      <c r="G113" s="9">
        <v>1</v>
      </c>
      <c r="H113" s="9">
        <v>17</v>
      </c>
      <c r="I113" s="10">
        <v>1.28</v>
      </c>
      <c r="J113" s="11">
        <v>0.20150000000000001</v>
      </c>
      <c r="K113" s="11" t="s">
        <v>241</v>
      </c>
      <c r="L113" s="11" t="s">
        <v>241</v>
      </c>
      <c r="M113" s="11">
        <v>1.2948</v>
      </c>
      <c r="N113" s="11">
        <v>0.22459999999999999</v>
      </c>
    </row>
    <row r="114" spans="2:14" ht="15" customHeight="1" x14ac:dyDescent="0.25">
      <c r="B114" s="6" t="s">
        <v>453</v>
      </c>
      <c r="C114" s="7" t="s">
        <v>454</v>
      </c>
      <c r="D114" s="6" t="s">
        <v>240</v>
      </c>
      <c r="E114" s="6" t="s">
        <v>240</v>
      </c>
      <c r="F114" s="8">
        <v>1.2</v>
      </c>
      <c r="G114" s="9">
        <v>1</v>
      </c>
      <c r="H114" s="9">
        <v>4</v>
      </c>
      <c r="I114" s="10">
        <v>1.89</v>
      </c>
      <c r="J114" s="11" t="s">
        <v>241</v>
      </c>
      <c r="K114" s="11" t="s">
        <v>241</v>
      </c>
      <c r="L114" s="11" t="s">
        <v>241</v>
      </c>
      <c r="M114" s="11">
        <v>0.21079999999999999</v>
      </c>
      <c r="N114" s="11">
        <v>0.1603</v>
      </c>
    </row>
    <row r="115" spans="2:14" ht="15" customHeight="1" x14ac:dyDescent="0.25">
      <c r="B115" s="6" t="s">
        <v>455</v>
      </c>
      <c r="C115" s="7" t="s">
        <v>456</v>
      </c>
      <c r="D115" s="6" t="s">
        <v>290</v>
      </c>
      <c r="E115" s="6" t="s">
        <v>240</v>
      </c>
      <c r="F115" s="8">
        <v>4.4000000000000004</v>
      </c>
      <c r="G115" s="9">
        <v>1</v>
      </c>
      <c r="H115" s="9">
        <v>13</v>
      </c>
      <c r="I115" s="10">
        <v>1.39</v>
      </c>
      <c r="J115" s="11">
        <v>0.37990000000000002</v>
      </c>
      <c r="K115" s="11" t="s">
        <v>241</v>
      </c>
      <c r="L115" s="11" t="s">
        <v>241</v>
      </c>
      <c r="M115" s="11">
        <v>1.2231000000000001</v>
      </c>
      <c r="N115" s="11">
        <v>0.22109999999999999</v>
      </c>
    </row>
    <row r="116" spans="2:14" ht="15" customHeight="1" x14ac:dyDescent="0.25">
      <c r="B116" s="6" t="s">
        <v>457</v>
      </c>
      <c r="C116" s="7" t="s">
        <v>458</v>
      </c>
      <c r="D116" s="6" t="s">
        <v>290</v>
      </c>
      <c r="E116" s="6" t="s">
        <v>240</v>
      </c>
      <c r="F116" s="8">
        <v>2.2999999999999998</v>
      </c>
      <c r="G116" s="9">
        <v>1</v>
      </c>
      <c r="H116" s="9">
        <v>8</v>
      </c>
      <c r="I116" s="10">
        <v>2</v>
      </c>
      <c r="J116" s="11">
        <v>0.16869999999999999</v>
      </c>
      <c r="K116" s="11" t="s">
        <v>241</v>
      </c>
      <c r="L116" s="11" t="s">
        <v>241</v>
      </c>
      <c r="M116" s="11">
        <v>0.56069999999999998</v>
      </c>
      <c r="N116" s="11">
        <v>0.2346</v>
      </c>
    </row>
    <row r="117" spans="2:14" ht="15" customHeight="1" x14ac:dyDescent="0.25">
      <c r="B117" s="6" t="s">
        <v>459</v>
      </c>
      <c r="C117" s="7" t="s">
        <v>460</v>
      </c>
      <c r="D117" s="6" t="s">
        <v>240</v>
      </c>
      <c r="E117" s="6" t="s">
        <v>240</v>
      </c>
      <c r="F117" s="8">
        <v>1.1000000000000001</v>
      </c>
      <c r="G117" s="9">
        <v>1</v>
      </c>
      <c r="H117" s="9">
        <v>3</v>
      </c>
      <c r="I117" s="10">
        <v>1.1299999999999999</v>
      </c>
      <c r="J117" s="11" t="s">
        <v>241</v>
      </c>
      <c r="K117" s="11" t="s">
        <v>241</v>
      </c>
      <c r="L117" s="11" t="s">
        <v>241</v>
      </c>
      <c r="M117" s="11">
        <v>5.9958</v>
      </c>
      <c r="N117" s="11">
        <v>1.0009999999999999</v>
      </c>
    </row>
    <row r="118" spans="2:14" ht="15" customHeight="1" x14ac:dyDescent="0.25">
      <c r="B118" s="6" t="s">
        <v>461</v>
      </c>
      <c r="C118" s="7" t="s">
        <v>462</v>
      </c>
      <c r="D118" s="6" t="s">
        <v>240</v>
      </c>
      <c r="E118" s="6" t="s">
        <v>240</v>
      </c>
      <c r="F118" s="8">
        <v>11</v>
      </c>
      <c r="G118" s="9">
        <v>3</v>
      </c>
      <c r="H118" s="9">
        <v>34</v>
      </c>
      <c r="I118" s="10">
        <v>1</v>
      </c>
      <c r="J118" s="11" t="s">
        <v>241</v>
      </c>
      <c r="K118" s="11">
        <v>1.7354000000000001</v>
      </c>
      <c r="L118" s="11">
        <v>2.0238999999999998</v>
      </c>
      <c r="M118" s="11">
        <v>7.8071000000000002</v>
      </c>
      <c r="N118" s="11">
        <v>0.40410000000000001</v>
      </c>
    </row>
    <row r="119" spans="2:14" ht="15" customHeight="1" x14ac:dyDescent="0.25">
      <c r="B119" s="6" t="s">
        <v>463</v>
      </c>
      <c r="C119" s="7" t="s">
        <v>464</v>
      </c>
      <c r="D119" s="6" t="s">
        <v>240</v>
      </c>
      <c r="E119" s="6" t="s">
        <v>240</v>
      </c>
      <c r="F119" s="8">
        <v>5.0999999999999996</v>
      </c>
      <c r="G119" s="9">
        <v>1</v>
      </c>
      <c r="H119" s="9">
        <v>14</v>
      </c>
      <c r="I119" s="10">
        <v>1</v>
      </c>
      <c r="J119" s="11" t="s">
        <v>241</v>
      </c>
      <c r="K119" s="11" t="s">
        <v>241</v>
      </c>
      <c r="L119" s="11" t="s">
        <v>241</v>
      </c>
      <c r="M119" s="11">
        <v>3.7233999999999998</v>
      </c>
      <c r="N119" s="11">
        <v>0.45590000000000003</v>
      </c>
    </row>
    <row r="120" spans="2:14" ht="15" customHeight="1" x14ac:dyDescent="0.25">
      <c r="B120" s="6" t="s">
        <v>465</v>
      </c>
      <c r="C120" s="7" t="s">
        <v>466</v>
      </c>
      <c r="D120" s="6" t="s">
        <v>240</v>
      </c>
      <c r="E120" s="6" t="s">
        <v>240</v>
      </c>
      <c r="F120" s="8">
        <v>2.5</v>
      </c>
      <c r="G120" s="9">
        <v>1</v>
      </c>
      <c r="H120" s="9">
        <v>7</v>
      </c>
      <c r="I120" s="10">
        <v>1.0900000000000001</v>
      </c>
      <c r="J120" s="11" t="s">
        <v>241</v>
      </c>
      <c r="K120" s="11" t="s">
        <v>241</v>
      </c>
      <c r="L120" s="11" t="s">
        <v>241</v>
      </c>
      <c r="M120" s="11">
        <v>1.9358</v>
      </c>
      <c r="N120" s="11">
        <v>0.39379999999999998</v>
      </c>
    </row>
    <row r="121" spans="2:14" ht="15" customHeight="1" x14ac:dyDescent="0.25">
      <c r="B121" s="6" t="s">
        <v>467</v>
      </c>
      <c r="C121" s="7" t="s">
        <v>468</v>
      </c>
      <c r="D121" s="6" t="s">
        <v>240</v>
      </c>
      <c r="E121" s="6" t="s">
        <v>240</v>
      </c>
      <c r="F121" s="8">
        <v>2.2999999999999998</v>
      </c>
      <c r="G121" s="9">
        <v>1</v>
      </c>
      <c r="H121" s="9">
        <v>7</v>
      </c>
      <c r="I121" s="10">
        <v>1</v>
      </c>
      <c r="J121" s="11" t="s">
        <v>241</v>
      </c>
      <c r="K121" s="11" t="s">
        <v>241</v>
      </c>
      <c r="L121" s="11" t="s">
        <v>241</v>
      </c>
      <c r="M121" s="11">
        <v>2.5975000000000001</v>
      </c>
      <c r="N121" s="11">
        <v>0.51800000000000002</v>
      </c>
    </row>
    <row r="122" spans="2:14" ht="15" customHeight="1" x14ac:dyDescent="0.25">
      <c r="B122" s="6" t="s">
        <v>469</v>
      </c>
      <c r="C122" s="7" t="s">
        <v>470</v>
      </c>
      <c r="D122" s="6" t="s">
        <v>240</v>
      </c>
      <c r="E122" s="6" t="s">
        <v>240</v>
      </c>
      <c r="F122" s="8">
        <v>1.7</v>
      </c>
      <c r="G122" s="9">
        <v>1</v>
      </c>
      <c r="H122" s="9">
        <v>5</v>
      </c>
      <c r="I122" s="10">
        <v>1.06</v>
      </c>
      <c r="J122" s="11" t="s">
        <v>241</v>
      </c>
      <c r="K122" s="11" t="s">
        <v>241</v>
      </c>
      <c r="L122" s="11" t="s">
        <v>241</v>
      </c>
      <c r="M122" s="11">
        <v>1.6958</v>
      </c>
      <c r="N122" s="11">
        <v>0.4904</v>
      </c>
    </row>
    <row r="123" spans="2:14" ht="15" customHeight="1" x14ac:dyDescent="0.25">
      <c r="B123" s="6" t="s">
        <v>471</v>
      </c>
      <c r="C123" s="7" t="s">
        <v>472</v>
      </c>
      <c r="D123" s="6" t="s">
        <v>240</v>
      </c>
      <c r="E123" s="6" t="s">
        <v>240</v>
      </c>
      <c r="F123" s="8">
        <v>3.4</v>
      </c>
      <c r="G123" s="9">
        <v>1</v>
      </c>
      <c r="H123" s="9">
        <v>10</v>
      </c>
      <c r="I123" s="10">
        <v>0.82</v>
      </c>
      <c r="J123" s="11" t="s">
        <v>241</v>
      </c>
      <c r="K123" s="11" t="s">
        <v>241</v>
      </c>
      <c r="L123" s="11" t="s">
        <v>241</v>
      </c>
      <c r="M123" s="11">
        <v>3.1943000000000001</v>
      </c>
      <c r="N123" s="11">
        <v>0.38650000000000001</v>
      </c>
    </row>
    <row r="124" spans="2:14" ht="15" customHeight="1" x14ac:dyDescent="0.25">
      <c r="B124" s="6" t="s">
        <v>473</v>
      </c>
      <c r="C124" s="7" t="s">
        <v>474</v>
      </c>
      <c r="D124" s="6" t="s">
        <v>240</v>
      </c>
      <c r="E124" s="6" t="s">
        <v>240</v>
      </c>
      <c r="F124" s="8">
        <v>1.8</v>
      </c>
      <c r="G124" s="9">
        <v>1</v>
      </c>
      <c r="H124" s="9">
        <v>5</v>
      </c>
      <c r="I124" s="10">
        <v>1</v>
      </c>
      <c r="J124" s="11" t="s">
        <v>241</v>
      </c>
      <c r="K124" s="11" t="s">
        <v>241</v>
      </c>
      <c r="L124" s="11" t="s">
        <v>241</v>
      </c>
      <c r="M124" s="11">
        <v>2.0059</v>
      </c>
      <c r="N124" s="11">
        <v>0.47249999999999998</v>
      </c>
    </row>
    <row r="125" spans="2:14" ht="15" customHeight="1" x14ac:dyDescent="0.25">
      <c r="B125" s="6" t="s">
        <v>475</v>
      </c>
      <c r="C125" s="7" t="s">
        <v>476</v>
      </c>
      <c r="D125" s="6" t="s">
        <v>240</v>
      </c>
      <c r="E125" s="6" t="s">
        <v>240</v>
      </c>
      <c r="F125" s="8">
        <v>2.1</v>
      </c>
      <c r="G125" s="9">
        <v>1</v>
      </c>
      <c r="H125" s="9">
        <v>7</v>
      </c>
      <c r="I125" s="10">
        <v>1</v>
      </c>
      <c r="J125" s="11" t="s">
        <v>241</v>
      </c>
      <c r="K125" s="11" t="s">
        <v>241</v>
      </c>
      <c r="L125" s="11" t="s">
        <v>241</v>
      </c>
      <c r="M125" s="11">
        <v>2.395</v>
      </c>
      <c r="N125" s="11">
        <v>0.49780000000000002</v>
      </c>
    </row>
    <row r="126" spans="2:14" ht="15" customHeight="1" x14ac:dyDescent="0.25">
      <c r="B126" s="6" t="s">
        <v>477</v>
      </c>
      <c r="C126" s="7" t="s">
        <v>478</v>
      </c>
      <c r="D126" s="6" t="s">
        <v>240</v>
      </c>
      <c r="E126" s="6" t="s">
        <v>240</v>
      </c>
      <c r="F126" s="8">
        <v>1.3</v>
      </c>
      <c r="G126" s="9">
        <v>1</v>
      </c>
      <c r="H126" s="9">
        <v>4</v>
      </c>
      <c r="I126" s="10">
        <v>1</v>
      </c>
      <c r="J126" s="11" t="s">
        <v>241</v>
      </c>
      <c r="K126" s="11" t="s">
        <v>241</v>
      </c>
      <c r="L126" s="11" t="s">
        <v>241</v>
      </c>
      <c r="M126" s="11">
        <v>1.3435999999999999</v>
      </c>
      <c r="N126" s="11">
        <v>0.52969999999999995</v>
      </c>
    </row>
    <row r="127" spans="2:14" ht="15" customHeight="1" x14ac:dyDescent="0.25">
      <c r="B127" s="6" t="s">
        <v>479</v>
      </c>
      <c r="C127" s="7" t="s">
        <v>480</v>
      </c>
      <c r="D127" s="6" t="s">
        <v>240</v>
      </c>
      <c r="E127" s="6" t="s">
        <v>240</v>
      </c>
      <c r="F127" s="8">
        <v>1.1000000000000001</v>
      </c>
      <c r="G127" s="9">
        <v>1</v>
      </c>
      <c r="H127" s="9">
        <v>3</v>
      </c>
      <c r="I127" s="10">
        <v>0.89</v>
      </c>
      <c r="J127" s="11" t="s">
        <v>241</v>
      </c>
      <c r="K127" s="11" t="s">
        <v>241</v>
      </c>
      <c r="L127" s="11" t="s">
        <v>241</v>
      </c>
      <c r="M127" s="11">
        <v>1.0203</v>
      </c>
      <c r="N127" s="11">
        <v>0.4264</v>
      </c>
    </row>
    <row r="128" spans="2:14" ht="15" customHeight="1" x14ac:dyDescent="0.25">
      <c r="B128" s="6" t="s">
        <v>481</v>
      </c>
      <c r="C128" s="7" t="s">
        <v>482</v>
      </c>
      <c r="D128" s="6" t="s">
        <v>240</v>
      </c>
      <c r="E128" s="6" t="s">
        <v>240</v>
      </c>
      <c r="F128" s="8">
        <v>1.1000000000000001</v>
      </c>
      <c r="G128" s="9">
        <v>1</v>
      </c>
      <c r="H128" s="9">
        <v>3</v>
      </c>
      <c r="I128" s="10">
        <v>1.1499999999999999</v>
      </c>
      <c r="J128" s="11" t="s">
        <v>241</v>
      </c>
      <c r="K128" s="11" t="s">
        <v>241</v>
      </c>
      <c r="L128" s="11" t="s">
        <v>241</v>
      </c>
      <c r="M128" s="11">
        <v>0.74209999999999998</v>
      </c>
      <c r="N128" s="11">
        <v>0.379</v>
      </c>
    </row>
    <row r="129" spans="2:14" ht="15" customHeight="1" x14ac:dyDescent="0.25">
      <c r="B129" s="6" t="s">
        <v>483</v>
      </c>
      <c r="C129" s="7" t="s">
        <v>484</v>
      </c>
      <c r="D129" s="6" t="s">
        <v>290</v>
      </c>
      <c r="E129" s="6" t="s">
        <v>240</v>
      </c>
      <c r="F129" s="8">
        <v>5.9</v>
      </c>
      <c r="G129" s="9">
        <v>1</v>
      </c>
      <c r="H129" s="9">
        <v>16</v>
      </c>
      <c r="I129" s="10">
        <v>1.1399999999999999</v>
      </c>
      <c r="J129" s="11">
        <v>0.81210000000000004</v>
      </c>
      <c r="K129" s="11" t="s">
        <v>241</v>
      </c>
      <c r="L129" s="11" t="s">
        <v>241</v>
      </c>
      <c r="M129" s="11">
        <v>2.4965000000000002</v>
      </c>
      <c r="N129" s="11">
        <v>0.28820000000000001</v>
      </c>
    </row>
    <row r="130" spans="2:14" ht="15" customHeight="1" x14ac:dyDescent="0.25">
      <c r="B130" s="6" t="s">
        <v>485</v>
      </c>
      <c r="C130" s="7" t="s">
        <v>486</v>
      </c>
      <c r="D130" s="6" t="s">
        <v>240</v>
      </c>
      <c r="E130" s="6" t="s">
        <v>240</v>
      </c>
      <c r="F130" s="8">
        <v>1.3</v>
      </c>
      <c r="G130" s="9">
        <v>1</v>
      </c>
      <c r="H130" s="9">
        <v>4</v>
      </c>
      <c r="I130" s="10">
        <v>1.07</v>
      </c>
      <c r="J130" s="11" t="s">
        <v>241</v>
      </c>
      <c r="K130" s="11" t="s">
        <v>241</v>
      </c>
      <c r="L130" s="11" t="s">
        <v>241</v>
      </c>
      <c r="M130" s="11">
        <v>0.83950000000000002</v>
      </c>
      <c r="N130" s="11">
        <v>0.31090000000000001</v>
      </c>
    </row>
    <row r="131" spans="2:14" ht="15" customHeight="1" x14ac:dyDescent="0.25">
      <c r="B131" s="6" t="s">
        <v>487</v>
      </c>
      <c r="C131" s="7" t="s">
        <v>488</v>
      </c>
      <c r="D131" s="6" t="s">
        <v>240</v>
      </c>
      <c r="E131" s="6" t="s">
        <v>240</v>
      </c>
      <c r="F131" s="8">
        <v>1.3</v>
      </c>
      <c r="G131" s="9">
        <v>1</v>
      </c>
      <c r="H131" s="9">
        <v>4</v>
      </c>
      <c r="I131" s="10">
        <v>1.3</v>
      </c>
      <c r="J131" s="11" t="s">
        <v>241</v>
      </c>
      <c r="K131" s="11" t="s">
        <v>241</v>
      </c>
      <c r="L131" s="11" t="s">
        <v>241</v>
      </c>
      <c r="M131" s="11">
        <v>0.5353</v>
      </c>
      <c r="N131" s="11">
        <v>0.2006</v>
      </c>
    </row>
    <row r="132" spans="2:14" ht="15" customHeight="1" x14ac:dyDescent="0.25">
      <c r="B132" s="6" t="s">
        <v>489</v>
      </c>
      <c r="C132" s="7" t="s">
        <v>490</v>
      </c>
      <c r="D132" s="6" t="s">
        <v>240</v>
      </c>
      <c r="E132" s="6" t="s">
        <v>240</v>
      </c>
      <c r="F132" s="8">
        <v>2.5</v>
      </c>
      <c r="G132" s="9">
        <v>1</v>
      </c>
      <c r="H132" s="9">
        <v>7</v>
      </c>
      <c r="I132" s="10">
        <v>1</v>
      </c>
      <c r="J132" s="11" t="s">
        <v>241</v>
      </c>
      <c r="K132" s="11" t="s">
        <v>241</v>
      </c>
      <c r="L132" s="11" t="s">
        <v>241</v>
      </c>
      <c r="M132" s="11">
        <v>1.4516</v>
      </c>
      <c r="N132" s="11">
        <v>0.29659999999999997</v>
      </c>
    </row>
    <row r="133" spans="2:14" ht="15" customHeight="1" x14ac:dyDescent="0.25">
      <c r="B133" s="6" t="s">
        <v>491</v>
      </c>
      <c r="C133" s="7" t="s">
        <v>492</v>
      </c>
      <c r="D133" s="6" t="s">
        <v>240</v>
      </c>
      <c r="E133" s="6" t="s">
        <v>240</v>
      </c>
      <c r="F133" s="8">
        <v>1.1000000000000001</v>
      </c>
      <c r="G133" s="9">
        <v>1</v>
      </c>
      <c r="H133" s="9">
        <v>4</v>
      </c>
      <c r="I133" s="10">
        <v>1.1000000000000001</v>
      </c>
      <c r="J133" s="11" t="s">
        <v>241</v>
      </c>
      <c r="K133" s="11" t="s">
        <v>241</v>
      </c>
      <c r="L133" s="11" t="s">
        <v>241</v>
      </c>
      <c r="M133" s="11">
        <v>0.66830000000000001</v>
      </c>
      <c r="N133" s="11">
        <v>0.26889999999999997</v>
      </c>
    </row>
    <row r="134" spans="2:14" ht="15" customHeight="1" x14ac:dyDescent="0.25">
      <c r="B134" s="6" t="s">
        <v>493</v>
      </c>
      <c r="C134" s="7" t="s">
        <v>494</v>
      </c>
      <c r="D134" s="6" t="s">
        <v>240</v>
      </c>
      <c r="E134" s="6" t="s">
        <v>240</v>
      </c>
      <c r="F134" s="8">
        <v>2.5</v>
      </c>
      <c r="G134" s="9">
        <v>1</v>
      </c>
      <c r="H134" s="9">
        <v>6</v>
      </c>
      <c r="I134" s="10">
        <v>1.2</v>
      </c>
      <c r="J134" s="11" t="s">
        <v>241</v>
      </c>
      <c r="K134" s="11" t="s">
        <v>241</v>
      </c>
      <c r="L134" s="11" t="s">
        <v>241</v>
      </c>
      <c r="M134" s="11">
        <v>2.3919000000000001</v>
      </c>
      <c r="N134" s="11">
        <v>0.30199999999999999</v>
      </c>
    </row>
    <row r="135" spans="2:14" ht="15" customHeight="1" x14ac:dyDescent="0.25">
      <c r="B135" s="6" t="s">
        <v>495</v>
      </c>
      <c r="C135" s="7" t="s">
        <v>496</v>
      </c>
      <c r="D135" s="6" t="s">
        <v>240</v>
      </c>
      <c r="E135" s="6" t="s">
        <v>240</v>
      </c>
      <c r="F135" s="8">
        <v>1.1000000000000001</v>
      </c>
      <c r="G135" s="9">
        <v>1</v>
      </c>
      <c r="H135" s="9">
        <v>3</v>
      </c>
      <c r="I135" s="10">
        <v>1</v>
      </c>
      <c r="J135" s="11" t="s">
        <v>241</v>
      </c>
      <c r="K135" s="11" t="s">
        <v>241</v>
      </c>
      <c r="L135" s="11" t="s">
        <v>241</v>
      </c>
      <c r="M135" s="11">
        <v>0.79759999999999998</v>
      </c>
      <c r="N135" s="11">
        <v>0.26740000000000003</v>
      </c>
    </row>
    <row r="136" spans="2:14" ht="15" customHeight="1" x14ac:dyDescent="0.25">
      <c r="B136" s="6" t="s">
        <v>497</v>
      </c>
      <c r="C136" s="7" t="s">
        <v>498</v>
      </c>
      <c r="D136" s="6" t="s">
        <v>240</v>
      </c>
      <c r="E136" s="6" t="s">
        <v>240</v>
      </c>
      <c r="F136" s="8">
        <v>9.1</v>
      </c>
      <c r="G136" s="9">
        <v>2</v>
      </c>
      <c r="H136" s="9">
        <v>25</v>
      </c>
      <c r="I136" s="10">
        <v>1</v>
      </c>
      <c r="J136" s="11" t="s">
        <v>241</v>
      </c>
      <c r="K136" s="11">
        <v>0.22409999999999999</v>
      </c>
      <c r="L136" s="11">
        <v>1.5429999999999999</v>
      </c>
      <c r="M136" s="11">
        <v>3.31</v>
      </c>
      <c r="N136" s="11">
        <v>0.27489999999999998</v>
      </c>
    </row>
    <row r="137" spans="2:14" ht="15" customHeight="1" x14ac:dyDescent="0.25">
      <c r="B137" s="6" t="s">
        <v>499</v>
      </c>
      <c r="C137" s="7" t="s">
        <v>500</v>
      </c>
      <c r="D137" s="6" t="s">
        <v>290</v>
      </c>
      <c r="E137" s="6" t="s">
        <v>240</v>
      </c>
      <c r="F137" s="8">
        <v>2.5</v>
      </c>
      <c r="G137" s="9">
        <v>1</v>
      </c>
      <c r="H137" s="9">
        <v>7</v>
      </c>
      <c r="I137" s="10">
        <v>1.59</v>
      </c>
      <c r="J137" s="11">
        <v>0.39040000000000002</v>
      </c>
      <c r="K137" s="11" t="s">
        <v>241</v>
      </c>
      <c r="L137" s="11" t="s">
        <v>241</v>
      </c>
      <c r="M137" s="11">
        <v>1.0015000000000001</v>
      </c>
      <c r="N137" s="11">
        <v>0.22650000000000001</v>
      </c>
    </row>
    <row r="138" spans="2:14" ht="15" customHeight="1" x14ac:dyDescent="0.25">
      <c r="B138" s="6" t="s">
        <v>501</v>
      </c>
      <c r="C138" s="7" t="s">
        <v>502</v>
      </c>
      <c r="D138" s="6" t="s">
        <v>290</v>
      </c>
      <c r="E138" s="6" t="s">
        <v>240</v>
      </c>
      <c r="F138" s="8">
        <v>3.7</v>
      </c>
      <c r="G138" s="9">
        <v>1</v>
      </c>
      <c r="H138" s="9">
        <v>10</v>
      </c>
      <c r="I138" s="10">
        <v>1</v>
      </c>
      <c r="J138" s="11">
        <v>0.1366</v>
      </c>
      <c r="K138" s="11" t="s">
        <v>241</v>
      </c>
      <c r="L138" s="11" t="s">
        <v>241</v>
      </c>
      <c r="M138" s="11">
        <v>0.90459999999999996</v>
      </c>
      <c r="N138" s="11">
        <v>0.21829999999999999</v>
      </c>
    </row>
    <row r="139" spans="2:14" ht="15" customHeight="1" x14ac:dyDescent="0.25">
      <c r="B139" s="6" t="s">
        <v>503</v>
      </c>
      <c r="C139" s="7" t="s">
        <v>504</v>
      </c>
      <c r="D139" s="6" t="s">
        <v>240</v>
      </c>
      <c r="E139" s="6" t="s">
        <v>240</v>
      </c>
      <c r="F139" s="8">
        <v>1.3</v>
      </c>
      <c r="G139" s="9">
        <v>1</v>
      </c>
      <c r="H139" s="9">
        <v>4</v>
      </c>
      <c r="I139" s="10">
        <v>1.45</v>
      </c>
      <c r="J139" s="11" t="s">
        <v>241</v>
      </c>
      <c r="K139" s="11" t="s">
        <v>241</v>
      </c>
      <c r="L139" s="11" t="s">
        <v>241</v>
      </c>
      <c r="M139" s="11">
        <v>0.25469999999999998</v>
      </c>
      <c r="N139" s="11">
        <v>0.1883</v>
      </c>
    </row>
    <row r="140" spans="2:14" ht="15" customHeight="1" x14ac:dyDescent="0.25">
      <c r="B140" s="6" t="s">
        <v>505</v>
      </c>
      <c r="C140" s="7" t="s">
        <v>506</v>
      </c>
      <c r="D140" s="6" t="s">
        <v>240</v>
      </c>
      <c r="E140" s="6" t="s">
        <v>240</v>
      </c>
      <c r="F140" s="8">
        <v>4.0999999999999996</v>
      </c>
      <c r="G140" s="9">
        <v>1</v>
      </c>
      <c r="H140" s="9">
        <v>11</v>
      </c>
      <c r="I140" s="10">
        <v>1</v>
      </c>
      <c r="J140" s="11" t="s">
        <v>241</v>
      </c>
      <c r="K140" s="11" t="s">
        <v>241</v>
      </c>
      <c r="L140" s="11" t="s">
        <v>241</v>
      </c>
      <c r="M140" s="11">
        <v>1.0149999999999999</v>
      </c>
      <c r="N140" s="11">
        <v>0.28100000000000003</v>
      </c>
    </row>
    <row r="141" spans="2:14" ht="15" customHeight="1" x14ac:dyDescent="0.25">
      <c r="B141" s="6" t="s">
        <v>507</v>
      </c>
      <c r="C141" s="7" t="s">
        <v>508</v>
      </c>
      <c r="D141" s="6" t="s">
        <v>240</v>
      </c>
      <c r="E141" s="6" t="s">
        <v>240</v>
      </c>
      <c r="F141" s="8">
        <v>1.3</v>
      </c>
      <c r="G141" s="9">
        <v>1</v>
      </c>
      <c r="H141" s="9">
        <v>4</v>
      </c>
      <c r="I141" s="10">
        <v>1.34</v>
      </c>
      <c r="J141" s="11" t="s">
        <v>241</v>
      </c>
      <c r="K141" s="11" t="s">
        <v>241</v>
      </c>
      <c r="L141" s="11" t="s">
        <v>241</v>
      </c>
      <c r="M141" s="11">
        <v>0.26029999999999998</v>
      </c>
      <c r="N141" s="11">
        <v>0.1862</v>
      </c>
    </row>
    <row r="142" spans="2:14" ht="15" customHeight="1" x14ac:dyDescent="0.25">
      <c r="B142" s="6" t="s">
        <v>509</v>
      </c>
      <c r="C142" s="7" t="s">
        <v>510</v>
      </c>
      <c r="D142" s="6" t="s">
        <v>290</v>
      </c>
      <c r="E142" s="6" t="s">
        <v>240</v>
      </c>
      <c r="F142" s="8">
        <v>3.4</v>
      </c>
      <c r="G142" s="9">
        <v>1</v>
      </c>
      <c r="H142" s="9">
        <v>10</v>
      </c>
      <c r="I142" s="10">
        <v>1.18</v>
      </c>
      <c r="J142" s="11">
        <v>0.14330000000000001</v>
      </c>
      <c r="K142" s="11" t="s">
        <v>241</v>
      </c>
      <c r="L142" s="11" t="s">
        <v>241</v>
      </c>
      <c r="M142" s="11">
        <v>0.91700000000000004</v>
      </c>
      <c r="N142" s="11">
        <v>0.24390000000000001</v>
      </c>
    </row>
    <row r="143" spans="2:14" ht="15" customHeight="1" x14ac:dyDescent="0.25">
      <c r="B143" s="6" t="s">
        <v>511</v>
      </c>
      <c r="C143" s="7" t="s">
        <v>512</v>
      </c>
      <c r="D143" s="6" t="s">
        <v>290</v>
      </c>
      <c r="E143" s="6" t="s">
        <v>240</v>
      </c>
      <c r="F143" s="8">
        <v>1.7</v>
      </c>
      <c r="G143" s="9">
        <v>1</v>
      </c>
      <c r="H143" s="9">
        <v>9</v>
      </c>
      <c r="I143" s="10">
        <v>1.1299999999999999</v>
      </c>
      <c r="J143" s="11">
        <v>0.1061</v>
      </c>
      <c r="K143" s="11" t="s">
        <v>241</v>
      </c>
      <c r="L143" s="11" t="s">
        <v>241</v>
      </c>
      <c r="M143" s="11">
        <v>0.44669999999999999</v>
      </c>
      <c r="N143" s="11">
        <v>0.21909999999999999</v>
      </c>
    </row>
    <row r="144" spans="2:14" ht="15" customHeight="1" x14ac:dyDescent="0.25">
      <c r="B144" s="6" t="s">
        <v>513</v>
      </c>
      <c r="C144" s="7" t="s">
        <v>514</v>
      </c>
      <c r="D144" s="6" t="s">
        <v>240</v>
      </c>
      <c r="E144" s="6" t="s">
        <v>240</v>
      </c>
      <c r="F144" s="8">
        <v>1.7</v>
      </c>
      <c r="G144" s="9">
        <v>1</v>
      </c>
      <c r="H144" s="9">
        <v>5</v>
      </c>
      <c r="I144" s="10">
        <v>1</v>
      </c>
      <c r="J144" s="11" t="s">
        <v>241</v>
      </c>
      <c r="K144" s="11" t="s">
        <v>241</v>
      </c>
      <c r="L144" s="11" t="s">
        <v>241</v>
      </c>
      <c r="M144" s="11">
        <v>0.5423</v>
      </c>
      <c r="N144" s="11">
        <v>0.2838</v>
      </c>
    </row>
    <row r="145" spans="2:14" ht="15" customHeight="1" x14ac:dyDescent="0.25">
      <c r="B145" s="6" t="s">
        <v>515</v>
      </c>
      <c r="C145" s="7" t="s">
        <v>516</v>
      </c>
      <c r="D145" s="6" t="s">
        <v>240</v>
      </c>
      <c r="E145" s="6" t="s">
        <v>240</v>
      </c>
      <c r="F145" s="8">
        <v>1.1000000000000001</v>
      </c>
      <c r="G145" s="9">
        <v>1</v>
      </c>
      <c r="H145" s="9">
        <v>3</v>
      </c>
      <c r="I145" s="10">
        <v>0.82</v>
      </c>
      <c r="J145" s="11" t="s">
        <v>241</v>
      </c>
      <c r="K145" s="11" t="s">
        <v>241</v>
      </c>
      <c r="L145" s="11" t="s">
        <v>241</v>
      </c>
      <c r="M145" s="11">
        <v>0.22359999999999999</v>
      </c>
      <c r="N145" s="11">
        <v>0.1724</v>
      </c>
    </row>
    <row r="146" spans="2:14" ht="15" customHeight="1" x14ac:dyDescent="0.25">
      <c r="B146" s="6" t="s">
        <v>517</v>
      </c>
      <c r="C146" s="7" t="s">
        <v>518</v>
      </c>
      <c r="D146" s="6" t="s">
        <v>240</v>
      </c>
      <c r="E146" s="6" t="s">
        <v>240</v>
      </c>
      <c r="F146" s="8">
        <v>4.2</v>
      </c>
      <c r="G146" s="9">
        <v>1</v>
      </c>
      <c r="H146" s="9">
        <v>12</v>
      </c>
      <c r="I146" s="10">
        <v>1</v>
      </c>
      <c r="J146" s="11" t="s">
        <v>241</v>
      </c>
      <c r="K146" s="11" t="s">
        <v>241</v>
      </c>
      <c r="L146" s="11" t="s">
        <v>241</v>
      </c>
      <c r="M146" s="11">
        <v>0.92979999999999996</v>
      </c>
      <c r="N146" s="11">
        <v>0.22009999999999999</v>
      </c>
    </row>
    <row r="147" spans="2:14" ht="15" customHeight="1" x14ac:dyDescent="0.25">
      <c r="B147" s="6" t="s">
        <v>519</v>
      </c>
      <c r="C147" s="7" t="s">
        <v>520</v>
      </c>
      <c r="D147" s="6" t="s">
        <v>240</v>
      </c>
      <c r="E147" s="6" t="s">
        <v>240</v>
      </c>
      <c r="F147" s="8">
        <v>1.1000000000000001</v>
      </c>
      <c r="G147" s="9">
        <v>1</v>
      </c>
      <c r="H147" s="9">
        <v>3</v>
      </c>
      <c r="I147" s="10">
        <v>1.27</v>
      </c>
      <c r="J147" s="11" t="s">
        <v>241</v>
      </c>
      <c r="K147" s="11" t="s">
        <v>241</v>
      </c>
      <c r="L147" s="11" t="s">
        <v>241</v>
      </c>
      <c r="M147" s="11">
        <v>0.26590000000000003</v>
      </c>
      <c r="N147" s="11">
        <v>0.15629999999999999</v>
      </c>
    </row>
    <row r="148" spans="2:14" ht="15" customHeight="1" x14ac:dyDescent="0.25">
      <c r="B148" s="6" t="s">
        <v>521</v>
      </c>
      <c r="C148" s="7" t="s">
        <v>522</v>
      </c>
      <c r="D148" s="6" t="s">
        <v>290</v>
      </c>
      <c r="E148" s="6" t="s">
        <v>240</v>
      </c>
      <c r="F148" s="8">
        <v>4.4000000000000004</v>
      </c>
      <c r="G148" s="9">
        <v>1</v>
      </c>
      <c r="H148" s="9">
        <v>14</v>
      </c>
      <c r="I148" s="10">
        <v>1.38</v>
      </c>
      <c r="J148" s="11">
        <v>0.31230000000000002</v>
      </c>
      <c r="K148" s="11" t="s">
        <v>241</v>
      </c>
      <c r="L148" s="11" t="s">
        <v>241</v>
      </c>
      <c r="M148" s="11">
        <v>1.0286999999999999</v>
      </c>
      <c r="N148" s="11">
        <v>0.19839999999999999</v>
      </c>
    </row>
    <row r="149" spans="2:14" ht="15" customHeight="1" x14ac:dyDescent="0.25">
      <c r="B149" s="6" t="s">
        <v>523</v>
      </c>
      <c r="C149" s="7" t="s">
        <v>524</v>
      </c>
      <c r="D149" s="6" t="s">
        <v>290</v>
      </c>
      <c r="E149" s="6" t="s">
        <v>240</v>
      </c>
      <c r="F149" s="8">
        <v>1.5</v>
      </c>
      <c r="G149" s="9">
        <v>1</v>
      </c>
      <c r="H149" s="9">
        <v>15</v>
      </c>
      <c r="I149" s="10">
        <v>1.1000000000000001</v>
      </c>
      <c r="J149" s="11">
        <v>0.18310000000000001</v>
      </c>
      <c r="K149" s="11" t="s">
        <v>241</v>
      </c>
      <c r="L149" s="11" t="s">
        <v>241</v>
      </c>
      <c r="M149" s="11">
        <v>0.42720000000000002</v>
      </c>
      <c r="N149" s="11">
        <v>0.2074</v>
      </c>
    </row>
    <row r="150" spans="2:14" ht="15" customHeight="1" x14ac:dyDescent="0.25">
      <c r="B150" s="6" t="s">
        <v>525</v>
      </c>
      <c r="C150" s="7" t="s">
        <v>526</v>
      </c>
      <c r="D150" s="6" t="s">
        <v>290</v>
      </c>
      <c r="E150" s="6" t="s">
        <v>240</v>
      </c>
      <c r="F150" s="8">
        <v>4.7</v>
      </c>
      <c r="G150" s="9">
        <v>1</v>
      </c>
      <c r="H150" s="9">
        <v>14</v>
      </c>
      <c r="I150" s="10">
        <v>1.0900000000000001</v>
      </c>
      <c r="J150" s="11">
        <v>0.27910000000000001</v>
      </c>
      <c r="K150" s="11" t="s">
        <v>241</v>
      </c>
      <c r="L150" s="11" t="s">
        <v>241</v>
      </c>
      <c r="M150" s="11">
        <v>1.2805</v>
      </c>
      <c r="N150" s="11">
        <v>0.25800000000000001</v>
      </c>
    </row>
    <row r="151" spans="2:14" ht="15" customHeight="1" x14ac:dyDescent="0.25">
      <c r="B151" s="6" t="s">
        <v>527</v>
      </c>
      <c r="C151" s="7" t="s">
        <v>528</v>
      </c>
      <c r="D151" s="6" t="s">
        <v>240</v>
      </c>
      <c r="E151" s="6" t="s">
        <v>240</v>
      </c>
      <c r="F151" s="8">
        <v>1.2</v>
      </c>
      <c r="G151" s="9">
        <v>1</v>
      </c>
      <c r="H151" s="9">
        <v>4</v>
      </c>
      <c r="I151" s="10">
        <v>1.44</v>
      </c>
      <c r="J151" s="11" t="s">
        <v>241</v>
      </c>
      <c r="K151" s="11" t="s">
        <v>241</v>
      </c>
      <c r="L151" s="11" t="s">
        <v>241</v>
      </c>
      <c r="M151" s="11">
        <v>0.26850000000000002</v>
      </c>
      <c r="N151" s="11">
        <v>0.20749999999999999</v>
      </c>
    </row>
    <row r="152" spans="2:14" ht="15" customHeight="1" x14ac:dyDescent="0.25">
      <c r="B152" s="6" t="s">
        <v>529</v>
      </c>
      <c r="C152" s="7" t="s">
        <v>530</v>
      </c>
      <c r="D152" s="6" t="s">
        <v>240</v>
      </c>
      <c r="E152" s="6" t="s">
        <v>240</v>
      </c>
      <c r="F152" s="8">
        <v>17.3</v>
      </c>
      <c r="G152" s="9">
        <v>6</v>
      </c>
      <c r="H152" s="9">
        <v>55</v>
      </c>
      <c r="I152" s="10">
        <v>1.0900000000000001</v>
      </c>
      <c r="J152" s="11" t="s">
        <v>241</v>
      </c>
      <c r="K152" s="11">
        <v>1.4031</v>
      </c>
      <c r="L152" s="11">
        <v>1.1962999999999999</v>
      </c>
      <c r="M152" s="11">
        <v>8.5810999999999993</v>
      </c>
      <c r="N152" s="11">
        <v>0.3105</v>
      </c>
    </row>
    <row r="153" spans="2:14" ht="15" customHeight="1" x14ac:dyDescent="0.25">
      <c r="B153" s="6" t="s">
        <v>531</v>
      </c>
      <c r="C153" s="7" t="s">
        <v>532</v>
      </c>
      <c r="D153" s="6" t="s">
        <v>240</v>
      </c>
      <c r="E153" s="6" t="s">
        <v>240</v>
      </c>
      <c r="F153" s="8">
        <v>10.1</v>
      </c>
      <c r="G153" s="9">
        <v>3</v>
      </c>
      <c r="H153" s="9">
        <v>29</v>
      </c>
      <c r="I153" s="10">
        <v>1.0900000000000001</v>
      </c>
      <c r="J153" s="11" t="s">
        <v>241</v>
      </c>
      <c r="K153" s="11">
        <v>1.1549</v>
      </c>
      <c r="L153" s="11">
        <v>1.3303</v>
      </c>
      <c r="M153" s="11">
        <v>5.1456</v>
      </c>
      <c r="N153" s="11">
        <v>0.23169999999999999</v>
      </c>
    </row>
    <row r="154" spans="2:14" ht="15" customHeight="1" x14ac:dyDescent="0.25">
      <c r="B154" s="6" t="s">
        <v>533</v>
      </c>
      <c r="C154" s="7" t="s">
        <v>534</v>
      </c>
      <c r="D154" s="6" t="s">
        <v>240</v>
      </c>
      <c r="E154" s="6" t="s">
        <v>240</v>
      </c>
      <c r="F154" s="8">
        <v>6</v>
      </c>
      <c r="G154" s="9">
        <v>2</v>
      </c>
      <c r="H154" s="9">
        <v>18</v>
      </c>
      <c r="I154" s="10">
        <v>1.18</v>
      </c>
      <c r="J154" s="11" t="s">
        <v>241</v>
      </c>
      <c r="K154" s="11">
        <v>0.96689999999999998</v>
      </c>
      <c r="L154" s="11">
        <v>1.3066</v>
      </c>
      <c r="M154" s="11">
        <v>3.5802</v>
      </c>
      <c r="N154" s="11">
        <v>0.22500000000000001</v>
      </c>
    </row>
    <row r="155" spans="2:14" ht="15" customHeight="1" x14ac:dyDescent="0.25">
      <c r="B155" s="6" t="s">
        <v>535</v>
      </c>
      <c r="C155" s="7" t="s">
        <v>536</v>
      </c>
      <c r="D155" s="6" t="s">
        <v>240</v>
      </c>
      <c r="E155" s="6" t="s">
        <v>240</v>
      </c>
      <c r="F155" s="8">
        <v>12.6</v>
      </c>
      <c r="G155" s="9">
        <v>4</v>
      </c>
      <c r="H155" s="9">
        <v>38</v>
      </c>
      <c r="I155" s="10">
        <v>1.54</v>
      </c>
      <c r="J155" s="11" t="s">
        <v>241</v>
      </c>
      <c r="K155" s="11">
        <v>0.59540000000000004</v>
      </c>
      <c r="L155" s="11">
        <v>1.1485000000000001</v>
      </c>
      <c r="M155" s="11">
        <v>5.1893000000000002</v>
      </c>
      <c r="N155" s="11">
        <v>0.26979999999999998</v>
      </c>
    </row>
    <row r="156" spans="2:14" ht="15" customHeight="1" x14ac:dyDescent="0.25">
      <c r="B156" s="6" t="s">
        <v>537</v>
      </c>
      <c r="C156" s="7" t="s">
        <v>538</v>
      </c>
      <c r="D156" s="6" t="s">
        <v>290</v>
      </c>
      <c r="E156" s="6" t="s">
        <v>240</v>
      </c>
      <c r="F156" s="8">
        <v>3.6</v>
      </c>
      <c r="G156" s="9">
        <v>1</v>
      </c>
      <c r="H156" s="9">
        <v>10</v>
      </c>
      <c r="I156" s="10">
        <v>0.84</v>
      </c>
      <c r="J156" s="11">
        <v>0.75009999999999999</v>
      </c>
      <c r="K156" s="11" t="s">
        <v>241</v>
      </c>
      <c r="L156" s="11" t="s">
        <v>241</v>
      </c>
      <c r="M156" s="11">
        <v>1.9378</v>
      </c>
      <c r="N156" s="11">
        <v>0.2606</v>
      </c>
    </row>
    <row r="157" spans="2:14" ht="15" customHeight="1" x14ac:dyDescent="0.25">
      <c r="B157" s="6" t="s">
        <v>539</v>
      </c>
      <c r="C157" s="7" t="s">
        <v>540</v>
      </c>
      <c r="D157" s="6" t="s">
        <v>240</v>
      </c>
      <c r="E157" s="6" t="s">
        <v>240</v>
      </c>
      <c r="F157" s="8">
        <v>1.1000000000000001</v>
      </c>
      <c r="G157" s="9">
        <v>1</v>
      </c>
      <c r="H157" s="9">
        <v>3</v>
      </c>
      <c r="I157" s="10">
        <v>1</v>
      </c>
      <c r="J157" s="11" t="s">
        <v>241</v>
      </c>
      <c r="K157" s="11" t="s">
        <v>241</v>
      </c>
      <c r="L157" s="11" t="s">
        <v>241</v>
      </c>
      <c r="M157" s="11">
        <v>0.88109999999999999</v>
      </c>
      <c r="N157" s="11">
        <v>0.32590000000000002</v>
      </c>
    </row>
    <row r="158" spans="2:14" ht="15" customHeight="1" x14ac:dyDescent="0.25">
      <c r="B158" s="6" t="s">
        <v>541</v>
      </c>
      <c r="C158" s="7" t="s">
        <v>542</v>
      </c>
      <c r="D158" s="6" t="s">
        <v>240</v>
      </c>
      <c r="E158" s="6" t="s">
        <v>240</v>
      </c>
      <c r="F158" s="8">
        <v>20.100000000000001</v>
      </c>
      <c r="G158" s="9">
        <v>10</v>
      </c>
      <c r="H158" s="9">
        <v>98</v>
      </c>
      <c r="I158" s="10">
        <v>1</v>
      </c>
      <c r="J158" s="11" t="s">
        <v>241</v>
      </c>
      <c r="K158" s="11">
        <v>4.2275</v>
      </c>
      <c r="L158" s="11">
        <v>1.9021999999999999</v>
      </c>
      <c r="M158" s="11">
        <v>23.249199999999998</v>
      </c>
      <c r="N158" s="11">
        <v>0.46589999999999998</v>
      </c>
    </row>
    <row r="159" spans="2:14" ht="15" customHeight="1" x14ac:dyDescent="0.25">
      <c r="B159" s="6" t="s">
        <v>543</v>
      </c>
      <c r="C159" s="7" t="s">
        <v>544</v>
      </c>
      <c r="D159" s="6" t="s">
        <v>240</v>
      </c>
      <c r="E159" s="6" t="s">
        <v>240</v>
      </c>
      <c r="F159" s="8">
        <v>10.7</v>
      </c>
      <c r="G159" s="9">
        <v>3</v>
      </c>
      <c r="H159" s="9">
        <v>32</v>
      </c>
      <c r="I159" s="10">
        <v>1.23</v>
      </c>
      <c r="J159" s="11" t="s">
        <v>241</v>
      </c>
      <c r="K159" s="11">
        <v>0.1087</v>
      </c>
      <c r="L159" s="11">
        <v>2.1233</v>
      </c>
      <c r="M159" s="11">
        <v>6.4785000000000004</v>
      </c>
      <c r="N159" s="11">
        <v>0.29780000000000001</v>
      </c>
    </row>
    <row r="160" spans="2:14" ht="15" customHeight="1" x14ac:dyDescent="0.25">
      <c r="B160" s="6" t="s">
        <v>545</v>
      </c>
      <c r="C160" s="7" t="s">
        <v>546</v>
      </c>
      <c r="D160" s="6" t="s">
        <v>240</v>
      </c>
      <c r="E160" s="6" t="s">
        <v>240</v>
      </c>
      <c r="F160" s="8">
        <v>4.3</v>
      </c>
      <c r="G160" s="9">
        <v>1</v>
      </c>
      <c r="H160" s="9">
        <v>13</v>
      </c>
      <c r="I160" s="10">
        <v>1</v>
      </c>
      <c r="J160" s="11" t="s">
        <v>241</v>
      </c>
      <c r="K160" s="11" t="s">
        <v>241</v>
      </c>
      <c r="L160" s="11" t="s">
        <v>241</v>
      </c>
      <c r="M160" s="11">
        <v>2.8727</v>
      </c>
      <c r="N160" s="11">
        <v>0.40589999999999998</v>
      </c>
    </row>
    <row r="161" spans="2:14" ht="15" customHeight="1" x14ac:dyDescent="0.25">
      <c r="B161" s="6" t="s">
        <v>547</v>
      </c>
      <c r="C161" s="7" t="s">
        <v>548</v>
      </c>
      <c r="D161" s="6" t="s">
        <v>240</v>
      </c>
      <c r="E161" s="6" t="s">
        <v>240</v>
      </c>
      <c r="F161" s="8">
        <v>12</v>
      </c>
      <c r="G161" s="9">
        <v>3</v>
      </c>
      <c r="H161" s="9">
        <v>33</v>
      </c>
      <c r="I161" s="10">
        <v>1.07</v>
      </c>
      <c r="J161" s="11" t="s">
        <v>241</v>
      </c>
      <c r="K161" s="11">
        <v>4.9299999999999997E-2</v>
      </c>
      <c r="L161" s="11">
        <v>1.4668000000000001</v>
      </c>
      <c r="M161" s="11">
        <v>4.4497999999999998</v>
      </c>
      <c r="N161" s="11">
        <v>0.27879999999999999</v>
      </c>
    </row>
    <row r="162" spans="2:14" ht="15" customHeight="1" x14ac:dyDescent="0.25">
      <c r="B162" s="6" t="s">
        <v>549</v>
      </c>
      <c r="C162" s="7" t="s">
        <v>550</v>
      </c>
      <c r="D162" s="6" t="s">
        <v>240</v>
      </c>
      <c r="E162" s="6" t="s">
        <v>240</v>
      </c>
      <c r="F162" s="8">
        <v>6.2</v>
      </c>
      <c r="G162" s="9">
        <v>2</v>
      </c>
      <c r="H162" s="9">
        <v>19</v>
      </c>
      <c r="I162" s="10">
        <v>0.8</v>
      </c>
      <c r="J162" s="11" t="s">
        <v>241</v>
      </c>
      <c r="K162" s="11">
        <v>1.4500000000000001E-2</v>
      </c>
      <c r="L162" s="11">
        <v>1.1233</v>
      </c>
      <c r="M162" s="11">
        <v>2.2610999999999999</v>
      </c>
      <c r="N162" s="11">
        <v>0.27489999999999998</v>
      </c>
    </row>
    <row r="163" spans="2:14" ht="15" customHeight="1" x14ac:dyDescent="0.25">
      <c r="B163" s="6" t="s">
        <v>551</v>
      </c>
      <c r="C163" s="7" t="s">
        <v>552</v>
      </c>
      <c r="D163" s="6" t="s">
        <v>240</v>
      </c>
      <c r="E163" s="6" t="s">
        <v>240</v>
      </c>
      <c r="F163" s="8">
        <v>11.6</v>
      </c>
      <c r="G163" s="9">
        <v>3</v>
      </c>
      <c r="H163" s="9">
        <v>34</v>
      </c>
      <c r="I163" s="10">
        <v>1.48</v>
      </c>
      <c r="J163" s="11" t="s">
        <v>241</v>
      </c>
      <c r="K163" s="11">
        <v>0.31419999999999998</v>
      </c>
      <c r="L163" s="11">
        <v>1.3081</v>
      </c>
      <c r="M163" s="11">
        <v>4.2385000000000002</v>
      </c>
      <c r="N163" s="11">
        <v>0.26319999999999999</v>
      </c>
    </row>
    <row r="164" spans="2:14" ht="15" customHeight="1" x14ac:dyDescent="0.25">
      <c r="B164" s="6" t="s">
        <v>553</v>
      </c>
      <c r="C164" s="7" t="s">
        <v>554</v>
      </c>
      <c r="D164" s="6" t="s">
        <v>290</v>
      </c>
      <c r="E164" s="6" t="s">
        <v>240</v>
      </c>
      <c r="F164" s="8">
        <v>4.8</v>
      </c>
      <c r="G164" s="9">
        <v>1</v>
      </c>
      <c r="H164" s="9">
        <v>18</v>
      </c>
      <c r="I164" s="10">
        <v>1.3</v>
      </c>
      <c r="J164" s="11">
        <v>0.54049999999999998</v>
      </c>
      <c r="K164" s="11" t="s">
        <v>241</v>
      </c>
      <c r="L164" s="11" t="s">
        <v>241</v>
      </c>
      <c r="M164" s="11">
        <v>1.8646</v>
      </c>
      <c r="N164" s="11">
        <v>0.23960000000000001</v>
      </c>
    </row>
    <row r="165" spans="2:14" ht="15" customHeight="1" x14ac:dyDescent="0.25">
      <c r="B165" s="6" t="s">
        <v>555</v>
      </c>
      <c r="C165" s="7" t="s">
        <v>556</v>
      </c>
      <c r="D165" s="6" t="s">
        <v>290</v>
      </c>
      <c r="E165" s="6" t="s">
        <v>240</v>
      </c>
      <c r="F165" s="8">
        <v>2.9</v>
      </c>
      <c r="G165" s="9">
        <v>1</v>
      </c>
      <c r="H165" s="9">
        <v>10</v>
      </c>
      <c r="I165" s="10">
        <v>1.4</v>
      </c>
      <c r="J165" s="11">
        <v>0.48559999999999998</v>
      </c>
      <c r="K165" s="11" t="s">
        <v>241</v>
      </c>
      <c r="L165" s="11" t="s">
        <v>241</v>
      </c>
      <c r="M165" s="11">
        <v>1.3615999999999999</v>
      </c>
      <c r="N165" s="11">
        <v>0.22239999999999999</v>
      </c>
    </row>
    <row r="166" spans="2:14" ht="15" customHeight="1" x14ac:dyDescent="0.25">
      <c r="B166" s="6" t="s">
        <v>557</v>
      </c>
      <c r="C166" s="7" t="s">
        <v>558</v>
      </c>
      <c r="D166" s="6" t="s">
        <v>240</v>
      </c>
      <c r="E166" s="6" t="s">
        <v>240</v>
      </c>
      <c r="F166" s="8">
        <v>12.2</v>
      </c>
      <c r="G166" s="9">
        <v>4</v>
      </c>
      <c r="H166" s="9">
        <v>41</v>
      </c>
      <c r="I166" s="10">
        <v>1.62</v>
      </c>
      <c r="J166" s="11" t="s">
        <v>241</v>
      </c>
      <c r="K166" s="11">
        <v>0</v>
      </c>
      <c r="L166" s="11">
        <v>1.3486</v>
      </c>
      <c r="M166" s="11">
        <v>5.3944999999999999</v>
      </c>
      <c r="N166" s="11">
        <v>0.3135</v>
      </c>
    </row>
    <row r="167" spans="2:14" ht="15" customHeight="1" x14ac:dyDescent="0.25">
      <c r="B167" s="6" t="s">
        <v>559</v>
      </c>
      <c r="C167" s="7" t="s">
        <v>560</v>
      </c>
      <c r="D167" s="6" t="s">
        <v>240</v>
      </c>
      <c r="E167" s="6" t="s">
        <v>240</v>
      </c>
      <c r="F167" s="8">
        <v>7.5</v>
      </c>
      <c r="G167" s="9">
        <v>5</v>
      </c>
      <c r="H167" s="9">
        <v>11</v>
      </c>
      <c r="I167" s="10">
        <v>1.27</v>
      </c>
      <c r="J167" s="11" t="s">
        <v>241</v>
      </c>
      <c r="K167" s="11">
        <v>0</v>
      </c>
      <c r="L167" s="11">
        <v>0.70699999999999996</v>
      </c>
      <c r="M167" s="11">
        <v>3.5350999999999999</v>
      </c>
      <c r="N167" s="11">
        <v>0.31340000000000001</v>
      </c>
    </row>
    <row r="168" spans="2:14" ht="15" customHeight="1" x14ac:dyDescent="0.25">
      <c r="B168" s="6" t="s">
        <v>561</v>
      </c>
      <c r="C168" s="7" t="s">
        <v>562</v>
      </c>
      <c r="D168" s="6" t="s">
        <v>240</v>
      </c>
      <c r="E168" s="6" t="s">
        <v>240</v>
      </c>
      <c r="F168" s="8">
        <v>6</v>
      </c>
      <c r="G168" s="9">
        <v>2</v>
      </c>
      <c r="H168" s="9">
        <v>18</v>
      </c>
      <c r="I168" s="10">
        <v>1</v>
      </c>
      <c r="J168" s="11" t="s">
        <v>241</v>
      </c>
      <c r="K168" s="11">
        <v>0</v>
      </c>
      <c r="L168" s="11">
        <v>0.93400000000000005</v>
      </c>
      <c r="M168" s="11">
        <v>1.8680000000000001</v>
      </c>
      <c r="N168" s="11">
        <v>0.23949999999999999</v>
      </c>
    </row>
    <row r="169" spans="2:14" ht="15" customHeight="1" x14ac:dyDescent="0.25">
      <c r="B169" s="6" t="s">
        <v>563</v>
      </c>
      <c r="C169" s="7" t="s">
        <v>564</v>
      </c>
      <c r="D169" s="6" t="s">
        <v>290</v>
      </c>
      <c r="E169" s="6" t="s">
        <v>240</v>
      </c>
      <c r="F169" s="8">
        <v>2.7</v>
      </c>
      <c r="G169" s="9">
        <v>1</v>
      </c>
      <c r="H169" s="9">
        <v>9</v>
      </c>
      <c r="I169" s="10">
        <v>1</v>
      </c>
      <c r="J169" s="11">
        <v>0.20069999999999999</v>
      </c>
      <c r="K169" s="11" t="s">
        <v>241</v>
      </c>
      <c r="L169" s="11" t="s">
        <v>241</v>
      </c>
      <c r="M169" s="11">
        <v>0.76919999999999999</v>
      </c>
      <c r="N169" s="11">
        <v>0.21790000000000001</v>
      </c>
    </row>
    <row r="170" spans="2:14" ht="15" customHeight="1" x14ac:dyDescent="0.25">
      <c r="B170" s="6" t="s">
        <v>565</v>
      </c>
      <c r="C170" s="7" t="s">
        <v>566</v>
      </c>
      <c r="D170" s="6" t="s">
        <v>240</v>
      </c>
      <c r="E170" s="6" t="s">
        <v>240</v>
      </c>
      <c r="F170" s="8">
        <v>5.9</v>
      </c>
      <c r="G170" s="9">
        <v>1</v>
      </c>
      <c r="H170" s="9">
        <v>18</v>
      </c>
      <c r="I170" s="10">
        <v>0.84</v>
      </c>
      <c r="J170" s="11" t="s">
        <v>241</v>
      </c>
      <c r="K170" s="11" t="s">
        <v>241</v>
      </c>
      <c r="L170" s="11" t="s">
        <v>241</v>
      </c>
      <c r="M170" s="11">
        <v>1.5971</v>
      </c>
      <c r="N170" s="11">
        <v>0.25180000000000002</v>
      </c>
    </row>
    <row r="171" spans="2:14" ht="15" customHeight="1" x14ac:dyDescent="0.25">
      <c r="B171" s="6" t="s">
        <v>567</v>
      </c>
      <c r="C171" s="7" t="s">
        <v>568</v>
      </c>
      <c r="D171" s="6" t="s">
        <v>290</v>
      </c>
      <c r="E171" s="6" t="s">
        <v>240</v>
      </c>
      <c r="F171" s="8">
        <v>3</v>
      </c>
      <c r="G171" s="9">
        <v>1</v>
      </c>
      <c r="H171" s="9">
        <v>9</v>
      </c>
      <c r="I171" s="10">
        <v>0.8</v>
      </c>
      <c r="J171" s="11">
        <v>0.13969999999999999</v>
      </c>
      <c r="K171" s="11" t="s">
        <v>241</v>
      </c>
      <c r="L171" s="11" t="s">
        <v>241</v>
      </c>
      <c r="M171" s="11">
        <v>0.79459999999999997</v>
      </c>
      <c r="N171" s="11">
        <v>0.22170000000000001</v>
      </c>
    </row>
    <row r="172" spans="2:14" ht="15" customHeight="1" x14ac:dyDescent="0.25">
      <c r="B172" s="6" t="s">
        <v>569</v>
      </c>
      <c r="C172" s="7" t="s">
        <v>570</v>
      </c>
      <c r="D172" s="6" t="s">
        <v>240</v>
      </c>
      <c r="E172" s="6" t="s">
        <v>240</v>
      </c>
      <c r="F172" s="8">
        <v>1.5</v>
      </c>
      <c r="G172" s="9">
        <v>1</v>
      </c>
      <c r="H172" s="9">
        <v>5</v>
      </c>
      <c r="I172" s="10">
        <v>2</v>
      </c>
      <c r="J172" s="11" t="s">
        <v>241</v>
      </c>
      <c r="K172" s="11" t="s">
        <v>241</v>
      </c>
      <c r="L172" s="11" t="s">
        <v>241</v>
      </c>
      <c r="M172" s="11">
        <v>0.39650000000000002</v>
      </c>
      <c r="N172" s="11">
        <v>6.4199999999999993E-2</v>
      </c>
    </row>
    <row r="173" spans="2:14" ht="15" customHeight="1" x14ac:dyDescent="0.25">
      <c r="B173" s="6" t="s">
        <v>571</v>
      </c>
      <c r="C173" s="7" t="s">
        <v>572</v>
      </c>
      <c r="D173" s="6" t="s">
        <v>240</v>
      </c>
      <c r="E173" s="6" t="s">
        <v>240</v>
      </c>
      <c r="F173" s="8">
        <v>1</v>
      </c>
      <c r="G173" s="9">
        <v>1</v>
      </c>
      <c r="H173" s="9">
        <v>3</v>
      </c>
      <c r="I173" s="10">
        <v>1.1399999999999999</v>
      </c>
      <c r="J173" s="11" t="s">
        <v>241</v>
      </c>
      <c r="K173" s="11" t="s">
        <v>241</v>
      </c>
      <c r="L173" s="11" t="s">
        <v>241</v>
      </c>
      <c r="M173" s="11">
        <v>0.29149999999999998</v>
      </c>
      <c r="N173" s="11">
        <v>0.1825</v>
      </c>
    </row>
    <row r="174" spans="2:14" ht="15" customHeight="1" x14ac:dyDescent="0.25">
      <c r="B174" s="6" t="s">
        <v>573</v>
      </c>
      <c r="C174" s="7" t="s">
        <v>574</v>
      </c>
      <c r="D174" s="6" t="s">
        <v>240</v>
      </c>
      <c r="E174" s="6" t="s">
        <v>240</v>
      </c>
      <c r="F174" s="8">
        <v>6.1</v>
      </c>
      <c r="G174" s="9">
        <v>2</v>
      </c>
      <c r="H174" s="9">
        <v>19</v>
      </c>
      <c r="I174" s="10">
        <v>1</v>
      </c>
      <c r="J174" s="11" t="s">
        <v>241</v>
      </c>
      <c r="K174" s="11">
        <v>0</v>
      </c>
      <c r="L174" s="11">
        <v>1.0225</v>
      </c>
      <c r="M174" s="11">
        <v>2.0449000000000002</v>
      </c>
      <c r="N174" s="11">
        <v>0.25369999999999998</v>
      </c>
    </row>
    <row r="175" spans="2:14" ht="15" customHeight="1" x14ac:dyDescent="0.25">
      <c r="B175" s="6" t="s">
        <v>575</v>
      </c>
      <c r="C175" s="7" t="s">
        <v>576</v>
      </c>
      <c r="D175" s="6" t="s">
        <v>240</v>
      </c>
      <c r="E175" s="6" t="s">
        <v>240</v>
      </c>
      <c r="F175" s="8">
        <v>2.8</v>
      </c>
      <c r="G175" s="9">
        <v>1</v>
      </c>
      <c r="H175" s="9">
        <v>8</v>
      </c>
      <c r="I175" s="10">
        <v>1</v>
      </c>
      <c r="J175" s="11" t="s">
        <v>241</v>
      </c>
      <c r="K175" s="11" t="s">
        <v>241</v>
      </c>
      <c r="L175" s="11" t="s">
        <v>241</v>
      </c>
      <c r="M175" s="11">
        <v>0.73750000000000004</v>
      </c>
      <c r="N175" s="11">
        <v>0.25990000000000002</v>
      </c>
    </row>
    <row r="176" spans="2:14" ht="15" customHeight="1" x14ac:dyDescent="0.25">
      <c r="B176" s="6" t="s">
        <v>577</v>
      </c>
      <c r="C176" s="7" t="s">
        <v>578</v>
      </c>
      <c r="D176" s="6" t="s">
        <v>240</v>
      </c>
      <c r="E176" s="6" t="s">
        <v>240</v>
      </c>
      <c r="F176" s="8">
        <v>5.9</v>
      </c>
      <c r="G176" s="9">
        <v>1</v>
      </c>
      <c r="H176" s="9">
        <v>17</v>
      </c>
      <c r="I176" s="10">
        <v>1</v>
      </c>
      <c r="J176" s="11" t="s">
        <v>241</v>
      </c>
      <c r="K176" s="11" t="s">
        <v>241</v>
      </c>
      <c r="L176" s="11" t="s">
        <v>241</v>
      </c>
      <c r="M176" s="11">
        <v>1.5148999999999999</v>
      </c>
      <c r="N176" s="11">
        <v>0.2394</v>
      </c>
    </row>
    <row r="177" spans="2:14" ht="15" customHeight="1" x14ac:dyDescent="0.25">
      <c r="B177" s="6" t="s">
        <v>579</v>
      </c>
      <c r="C177" s="7" t="s">
        <v>580</v>
      </c>
      <c r="D177" s="6" t="s">
        <v>240</v>
      </c>
      <c r="E177" s="6" t="s">
        <v>240</v>
      </c>
      <c r="F177" s="8">
        <v>2.8</v>
      </c>
      <c r="G177" s="9">
        <v>1</v>
      </c>
      <c r="H177" s="9">
        <v>8</v>
      </c>
      <c r="I177" s="10">
        <v>1</v>
      </c>
      <c r="J177" s="11" t="s">
        <v>241</v>
      </c>
      <c r="K177" s="11" t="s">
        <v>241</v>
      </c>
      <c r="L177" s="11" t="s">
        <v>241</v>
      </c>
      <c r="M177" s="11">
        <v>0.68</v>
      </c>
      <c r="N177" s="11">
        <v>0.22819999999999999</v>
      </c>
    </row>
    <row r="178" spans="2:14" ht="15" customHeight="1" x14ac:dyDescent="0.25">
      <c r="B178" s="6" t="s">
        <v>581</v>
      </c>
      <c r="C178" s="7" t="s">
        <v>582</v>
      </c>
      <c r="D178" s="6" t="s">
        <v>240</v>
      </c>
      <c r="E178" s="6" t="s">
        <v>240</v>
      </c>
      <c r="F178" s="8">
        <v>7.3</v>
      </c>
      <c r="G178" s="9">
        <v>2</v>
      </c>
      <c r="H178" s="9">
        <v>20</v>
      </c>
      <c r="I178" s="10">
        <v>1</v>
      </c>
      <c r="J178" s="11" t="s">
        <v>241</v>
      </c>
      <c r="K178" s="11">
        <v>0</v>
      </c>
      <c r="L178" s="11">
        <v>1.0451999999999999</v>
      </c>
      <c r="M178" s="11">
        <v>2.0903</v>
      </c>
      <c r="N178" s="11">
        <v>0.23930000000000001</v>
      </c>
    </row>
    <row r="179" spans="2:14" ht="15" customHeight="1" x14ac:dyDescent="0.25">
      <c r="B179" s="6" t="s">
        <v>583</v>
      </c>
      <c r="C179" s="7" t="s">
        <v>584</v>
      </c>
      <c r="D179" s="6" t="s">
        <v>240</v>
      </c>
      <c r="E179" s="6" t="s">
        <v>240</v>
      </c>
      <c r="F179" s="8">
        <v>2.5</v>
      </c>
      <c r="G179" s="9">
        <v>1</v>
      </c>
      <c r="H179" s="9">
        <v>7</v>
      </c>
      <c r="I179" s="10">
        <v>1</v>
      </c>
      <c r="J179" s="11" t="s">
        <v>241</v>
      </c>
      <c r="K179" s="11" t="s">
        <v>241</v>
      </c>
      <c r="L179" s="11" t="s">
        <v>241</v>
      </c>
      <c r="M179" s="11">
        <v>0.64629999999999999</v>
      </c>
      <c r="N179" s="11">
        <v>0.27279999999999999</v>
      </c>
    </row>
    <row r="180" spans="2:14" ht="15" customHeight="1" x14ac:dyDescent="0.25">
      <c r="B180" s="6" t="s">
        <v>585</v>
      </c>
      <c r="C180" s="7" t="s">
        <v>586</v>
      </c>
      <c r="D180" s="6" t="s">
        <v>290</v>
      </c>
      <c r="E180" s="6" t="s">
        <v>240</v>
      </c>
      <c r="F180" s="8">
        <v>4</v>
      </c>
      <c r="G180" s="9">
        <v>1</v>
      </c>
      <c r="H180" s="9">
        <v>12</v>
      </c>
      <c r="I180" s="10">
        <v>0.8</v>
      </c>
      <c r="J180" s="11">
        <v>0.31059999999999999</v>
      </c>
      <c r="K180" s="11" t="s">
        <v>241</v>
      </c>
      <c r="L180" s="11" t="s">
        <v>241</v>
      </c>
      <c r="M180" s="11">
        <v>1.0699000000000001</v>
      </c>
      <c r="N180" s="11">
        <v>0.24110000000000001</v>
      </c>
    </row>
    <row r="181" spans="2:14" ht="15" customHeight="1" x14ac:dyDescent="0.25">
      <c r="B181" s="6" t="s">
        <v>587</v>
      </c>
      <c r="C181" s="7" t="s">
        <v>588</v>
      </c>
      <c r="D181" s="6" t="s">
        <v>290</v>
      </c>
      <c r="E181" s="6" t="s">
        <v>240</v>
      </c>
      <c r="F181" s="8">
        <v>1.5</v>
      </c>
      <c r="G181" s="9">
        <v>1</v>
      </c>
      <c r="H181" s="9">
        <v>4</v>
      </c>
      <c r="I181" s="10">
        <v>0.8</v>
      </c>
      <c r="J181" s="11">
        <v>0.1452</v>
      </c>
      <c r="K181" s="11" t="s">
        <v>241</v>
      </c>
      <c r="L181" s="11" t="s">
        <v>241</v>
      </c>
      <c r="M181" s="11">
        <v>0.374</v>
      </c>
      <c r="N181" s="11">
        <v>0.24390000000000001</v>
      </c>
    </row>
    <row r="182" spans="2:14" ht="15" customHeight="1" x14ac:dyDescent="0.25">
      <c r="B182" s="6" t="s">
        <v>589</v>
      </c>
      <c r="C182" s="7" t="s">
        <v>590</v>
      </c>
      <c r="D182" s="6" t="s">
        <v>240</v>
      </c>
      <c r="E182" s="6" t="s">
        <v>240</v>
      </c>
      <c r="F182" s="8">
        <v>5.5</v>
      </c>
      <c r="G182" s="9">
        <v>1</v>
      </c>
      <c r="H182" s="9">
        <v>16</v>
      </c>
      <c r="I182" s="10">
        <v>1</v>
      </c>
      <c r="J182" s="11" t="s">
        <v>241</v>
      </c>
      <c r="K182" s="11" t="s">
        <v>241</v>
      </c>
      <c r="L182" s="11" t="s">
        <v>241</v>
      </c>
      <c r="M182" s="11">
        <v>1.6134999999999999</v>
      </c>
      <c r="N182" s="11">
        <v>0.28010000000000002</v>
      </c>
    </row>
    <row r="183" spans="2:14" ht="15" customHeight="1" x14ac:dyDescent="0.25">
      <c r="B183" s="6" t="s">
        <v>591</v>
      </c>
      <c r="C183" s="7" t="s">
        <v>592</v>
      </c>
      <c r="D183" s="6" t="s">
        <v>240</v>
      </c>
      <c r="E183" s="6" t="s">
        <v>240</v>
      </c>
      <c r="F183" s="8">
        <v>2.2999999999999998</v>
      </c>
      <c r="G183" s="9">
        <v>1</v>
      </c>
      <c r="H183" s="9">
        <v>7</v>
      </c>
      <c r="I183" s="10">
        <v>1.26</v>
      </c>
      <c r="J183" s="11" t="s">
        <v>241</v>
      </c>
      <c r="K183" s="11" t="s">
        <v>241</v>
      </c>
      <c r="L183" s="11" t="s">
        <v>241</v>
      </c>
      <c r="M183" s="11">
        <v>0.65390000000000004</v>
      </c>
      <c r="N183" s="11">
        <v>0.27989999999999998</v>
      </c>
    </row>
    <row r="184" spans="2:14" ht="15" customHeight="1" x14ac:dyDescent="0.25">
      <c r="B184" s="6" t="s">
        <v>593</v>
      </c>
      <c r="C184" s="7" t="s">
        <v>594</v>
      </c>
      <c r="D184" s="6" t="s">
        <v>240</v>
      </c>
      <c r="E184" s="6" t="s">
        <v>240</v>
      </c>
      <c r="F184" s="8">
        <v>2.7</v>
      </c>
      <c r="G184" s="9">
        <v>1</v>
      </c>
      <c r="H184" s="9">
        <v>9</v>
      </c>
      <c r="I184" s="10">
        <v>1.1000000000000001</v>
      </c>
      <c r="J184" s="11" t="s">
        <v>241</v>
      </c>
      <c r="K184" s="11" t="s">
        <v>241</v>
      </c>
      <c r="L184" s="11" t="s">
        <v>241</v>
      </c>
      <c r="M184" s="11">
        <v>0.72799999999999998</v>
      </c>
      <c r="N184" s="11">
        <v>0.24399999999999999</v>
      </c>
    </row>
    <row r="185" spans="2:14" ht="15" customHeight="1" x14ac:dyDescent="0.25">
      <c r="B185" s="6" t="s">
        <v>595</v>
      </c>
      <c r="C185" s="7" t="s">
        <v>596</v>
      </c>
      <c r="D185" s="6" t="s">
        <v>240</v>
      </c>
      <c r="E185" s="6" t="s">
        <v>240</v>
      </c>
      <c r="F185" s="8">
        <v>1.4</v>
      </c>
      <c r="G185" s="9">
        <v>1</v>
      </c>
      <c r="H185" s="9">
        <v>4</v>
      </c>
      <c r="I185" s="10">
        <v>0.8</v>
      </c>
      <c r="J185" s="11" t="s">
        <v>241</v>
      </c>
      <c r="K185" s="11" t="s">
        <v>241</v>
      </c>
      <c r="L185" s="11" t="s">
        <v>241</v>
      </c>
      <c r="M185" s="11">
        <v>0.29520000000000002</v>
      </c>
      <c r="N185" s="11">
        <v>0.2263</v>
      </c>
    </row>
    <row r="186" spans="2:14" ht="15" customHeight="1" x14ac:dyDescent="0.25">
      <c r="B186" s="6" t="s">
        <v>597</v>
      </c>
      <c r="C186" s="7" t="s">
        <v>598</v>
      </c>
      <c r="D186" s="6" t="s">
        <v>240</v>
      </c>
      <c r="E186" s="6" t="s">
        <v>240</v>
      </c>
      <c r="F186" s="8">
        <v>2.6</v>
      </c>
      <c r="G186" s="9">
        <v>1</v>
      </c>
      <c r="H186" s="9">
        <v>8</v>
      </c>
      <c r="I186" s="10">
        <v>0.89</v>
      </c>
      <c r="J186" s="11" t="s">
        <v>241</v>
      </c>
      <c r="K186" s="11" t="s">
        <v>241</v>
      </c>
      <c r="L186" s="11" t="s">
        <v>241</v>
      </c>
      <c r="M186" s="11">
        <v>0.98470000000000002</v>
      </c>
      <c r="N186" s="11">
        <v>0.3553</v>
      </c>
    </row>
    <row r="187" spans="2:14" ht="15" customHeight="1" x14ac:dyDescent="0.25">
      <c r="B187" s="6" t="s">
        <v>599</v>
      </c>
      <c r="C187" s="7" t="s">
        <v>600</v>
      </c>
      <c r="D187" s="6" t="s">
        <v>240</v>
      </c>
      <c r="E187" s="6" t="s">
        <v>240</v>
      </c>
      <c r="F187" s="8">
        <v>1.6</v>
      </c>
      <c r="G187" s="9">
        <v>1</v>
      </c>
      <c r="H187" s="9">
        <v>6</v>
      </c>
      <c r="I187" s="10">
        <v>0.8</v>
      </c>
      <c r="J187" s="11" t="s">
        <v>241</v>
      </c>
      <c r="K187" s="11" t="s">
        <v>241</v>
      </c>
      <c r="L187" s="11" t="s">
        <v>241</v>
      </c>
      <c r="M187" s="11">
        <v>0.56159999999999999</v>
      </c>
      <c r="N187" s="11">
        <v>0.33810000000000001</v>
      </c>
    </row>
    <row r="188" spans="2:14" ht="15" customHeight="1" x14ac:dyDescent="0.25">
      <c r="B188" s="6" t="s">
        <v>601</v>
      </c>
      <c r="C188" s="7" t="s">
        <v>602</v>
      </c>
      <c r="D188" s="6" t="s">
        <v>240</v>
      </c>
      <c r="E188" s="6" t="s">
        <v>240</v>
      </c>
      <c r="F188" s="8">
        <v>9.1</v>
      </c>
      <c r="G188" s="9">
        <v>2</v>
      </c>
      <c r="H188" s="9">
        <v>25</v>
      </c>
      <c r="I188" s="10">
        <v>1</v>
      </c>
      <c r="J188" s="11" t="s">
        <v>241</v>
      </c>
      <c r="K188" s="11">
        <v>0</v>
      </c>
      <c r="L188" s="11">
        <v>1.2778</v>
      </c>
      <c r="M188" s="11">
        <v>2.5556999999999999</v>
      </c>
      <c r="N188" s="11">
        <v>0.2447</v>
      </c>
    </row>
    <row r="189" spans="2:14" ht="15" customHeight="1" x14ac:dyDescent="0.25">
      <c r="B189" s="6" t="s">
        <v>603</v>
      </c>
      <c r="C189" s="7" t="s">
        <v>604</v>
      </c>
      <c r="D189" s="6" t="s">
        <v>290</v>
      </c>
      <c r="E189" s="6" t="s">
        <v>240</v>
      </c>
      <c r="F189" s="8">
        <v>4.3</v>
      </c>
      <c r="G189" s="9">
        <v>1</v>
      </c>
      <c r="H189" s="9">
        <v>12</v>
      </c>
      <c r="I189" s="10">
        <v>1.8</v>
      </c>
      <c r="J189" s="11">
        <v>0.33229999999999998</v>
      </c>
      <c r="K189" s="11" t="s">
        <v>241</v>
      </c>
      <c r="L189" s="11" t="s">
        <v>241</v>
      </c>
      <c r="M189" s="11">
        <v>1.1252</v>
      </c>
      <c r="N189" s="11">
        <v>0.2258</v>
      </c>
    </row>
    <row r="190" spans="2:14" ht="15" customHeight="1" x14ac:dyDescent="0.25">
      <c r="B190" s="6" t="s">
        <v>605</v>
      </c>
      <c r="C190" s="7" t="s">
        <v>606</v>
      </c>
      <c r="D190" s="6" t="s">
        <v>240</v>
      </c>
      <c r="E190" s="6" t="s">
        <v>240</v>
      </c>
      <c r="F190" s="8">
        <v>2.6</v>
      </c>
      <c r="G190" s="9">
        <v>1</v>
      </c>
      <c r="H190" s="9">
        <v>8</v>
      </c>
      <c r="I190" s="10">
        <v>1.05</v>
      </c>
      <c r="J190" s="11" t="s">
        <v>241</v>
      </c>
      <c r="K190" s="11" t="s">
        <v>241</v>
      </c>
      <c r="L190" s="11" t="s">
        <v>241</v>
      </c>
      <c r="M190" s="11">
        <v>0.62619999999999998</v>
      </c>
      <c r="N190" s="11">
        <v>0.3503</v>
      </c>
    </row>
    <row r="191" spans="2:14" ht="15" customHeight="1" x14ac:dyDescent="0.25">
      <c r="B191" s="6" t="s">
        <v>607</v>
      </c>
      <c r="C191" s="7" t="s">
        <v>608</v>
      </c>
      <c r="D191" s="6" t="s">
        <v>240</v>
      </c>
      <c r="E191" s="6" t="s">
        <v>240</v>
      </c>
      <c r="F191" s="8">
        <v>9</v>
      </c>
      <c r="G191" s="9">
        <v>2</v>
      </c>
      <c r="H191" s="9">
        <v>26</v>
      </c>
      <c r="I191" s="10">
        <v>1</v>
      </c>
      <c r="J191" s="11" t="s">
        <v>241</v>
      </c>
      <c r="K191" s="11">
        <v>0</v>
      </c>
      <c r="L191" s="11">
        <v>1.2919</v>
      </c>
      <c r="M191" s="11">
        <v>2.5838000000000001</v>
      </c>
      <c r="N191" s="11">
        <v>0.25019999999999998</v>
      </c>
    </row>
    <row r="192" spans="2:14" ht="15" customHeight="1" x14ac:dyDescent="0.25">
      <c r="B192" s="6" t="s">
        <v>609</v>
      </c>
      <c r="C192" s="7" t="s">
        <v>610</v>
      </c>
      <c r="D192" s="6" t="s">
        <v>240</v>
      </c>
      <c r="E192" s="6" t="s">
        <v>240</v>
      </c>
      <c r="F192" s="8">
        <v>4.8</v>
      </c>
      <c r="G192" s="9">
        <v>1</v>
      </c>
      <c r="H192" s="9">
        <v>14</v>
      </c>
      <c r="I192" s="10">
        <v>1</v>
      </c>
      <c r="J192" s="11" t="s">
        <v>241</v>
      </c>
      <c r="K192" s="11" t="s">
        <v>241</v>
      </c>
      <c r="L192" s="11" t="s">
        <v>241</v>
      </c>
      <c r="M192" s="11">
        <v>1.2513000000000001</v>
      </c>
      <c r="N192" s="11">
        <v>0.23219999999999999</v>
      </c>
    </row>
    <row r="193" spans="2:14" ht="15" customHeight="1" x14ac:dyDescent="0.25">
      <c r="B193" s="6" t="s">
        <v>611</v>
      </c>
      <c r="C193" s="7" t="s">
        <v>612</v>
      </c>
      <c r="D193" s="6" t="s">
        <v>290</v>
      </c>
      <c r="E193" s="6" t="s">
        <v>240</v>
      </c>
      <c r="F193" s="8">
        <v>3.1</v>
      </c>
      <c r="G193" s="9">
        <v>1</v>
      </c>
      <c r="H193" s="9">
        <v>9</v>
      </c>
      <c r="I193" s="10">
        <v>1</v>
      </c>
      <c r="J193" s="11">
        <v>0.2155</v>
      </c>
      <c r="K193" s="11" t="s">
        <v>241</v>
      </c>
      <c r="L193" s="11" t="s">
        <v>241</v>
      </c>
      <c r="M193" s="11">
        <v>0.83089999999999997</v>
      </c>
      <c r="N193" s="11">
        <v>0.2114</v>
      </c>
    </row>
    <row r="194" spans="2:14" ht="15" customHeight="1" x14ac:dyDescent="0.25">
      <c r="B194" s="6" t="s">
        <v>613</v>
      </c>
      <c r="C194" s="7" t="s">
        <v>614</v>
      </c>
      <c r="D194" s="6" t="s">
        <v>240</v>
      </c>
      <c r="E194" s="6" t="s">
        <v>240</v>
      </c>
      <c r="F194" s="8">
        <v>7.5</v>
      </c>
      <c r="G194" s="9">
        <v>2</v>
      </c>
      <c r="H194" s="9">
        <v>23</v>
      </c>
      <c r="I194" s="10">
        <v>1</v>
      </c>
      <c r="J194" s="11" t="s">
        <v>241</v>
      </c>
      <c r="K194" s="11">
        <v>0</v>
      </c>
      <c r="L194" s="11">
        <v>1.0406</v>
      </c>
      <c r="M194" s="11">
        <v>2.0811999999999999</v>
      </c>
      <c r="N194" s="11">
        <v>0.23619999999999999</v>
      </c>
    </row>
    <row r="195" spans="2:14" ht="15" customHeight="1" x14ac:dyDescent="0.25">
      <c r="B195" s="6" t="s">
        <v>615</v>
      </c>
      <c r="C195" s="7" t="s">
        <v>616</v>
      </c>
      <c r="D195" s="6" t="s">
        <v>290</v>
      </c>
      <c r="E195" s="6" t="s">
        <v>240</v>
      </c>
      <c r="F195" s="8">
        <v>3.9</v>
      </c>
      <c r="G195" s="9">
        <v>1</v>
      </c>
      <c r="H195" s="9">
        <v>11</v>
      </c>
      <c r="I195" s="10">
        <v>1.18</v>
      </c>
      <c r="J195" s="11">
        <v>0.1968</v>
      </c>
      <c r="K195" s="11" t="s">
        <v>241</v>
      </c>
      <c r="L195" s="11" t="s">
        <v>241</v>
      </c>
      <c r="M195" s="11">
        <v>1.0301</v>
      </c>
      <c r="N195" s="11">
        <v>0.2218</v>
      </c>
    </row>
    <row r="196" spans="2:14" ht="15" customHeight="1" x14ac:dyDescent="0.25">
      <c r="B196" s="6" t="s">
        <v>617</v>
      </c>
      <c r="C196" s="7" t="s">
        <v>618</v>
      </c>
      <c r="D196" s="6" t="s">
        <v>290</v>
      </c>
      <c r="E196" s="6" t="s">
        <v>240</v>
      </c>
      <c r="F196" s="8">
        <v>4.5</v>
      </c>
      <c r="G196" s="9">
        <v>1</v>
      </c>
      <c r="H196" s="9">
        <v>14</v>
      </c>
      <c r="I196" s="10">
        <v>1.23</v>
      </c>
      <c r="J196" s="11">
        <v>0.2074</v>
      </c>
      <c r="K196" s="11" t="s">
        <v>241</v>
      </c>
      <c r="L196" s="11" t="s">
        <v>241</v>
      </c>
      <c r="M196" s="11">
        <v>1.1992</v>
      </c>
      <c r="N196" s="11">
        <v>0.23719999999999999</v>
      </c>
    </row>
    <row r="197" spans="2:14" ht="15" customHeight="1" x14ac:dyDescent="0.25">
      <c r="B197" s="6" t="s">
        <v>619</v>
      </c>
      <c r="C197" s="7" t="s">
        <v>620</v>
      </c>
      <c r="D197" s="6" t="s">
        <v>240</v>
      </c>
      <c r="E197" s="6" t="s">
        <v>240</v>
      </c>
      <c r="F197" s="8">
        <v>1.5</v>
      </c>
      <c r="G197" s="9">
        <v>1</v>
      </c>
      <c r="H197" s="9">
        <v>4</v>
      </c>
      <c r="I197" s="10">
        <v>0.8</v>
      </c>
      <c r="J197" s="11" t="s">
        <v>241</v>
      </c>
      <c r="K197" s="11" t="s">
        <v>241</v>
      </c>
      <c r="L197" s="11" t="s">
        <v>241</v>
      </c>
      <c r="M197" s="11">
        <v>0.30790000000000001</v>
      </c>
      <c r="N197" s="11">
        <v>0.2233</v>
      </c>
    </row>
    <row r="198" spans="2:14" ht="15" customHeight="1" x14ac:dyDescent="0.25">
      <c r="B198" s="6" t="s">
        <v>621</v>
      </c>
      <c r="C198" s="7" t="s">
        <v>622</v>
      </c>
      <c r="D198" s="6" t="s">
        <v>240</v>
      </c>
      <c r="E198" s="6" t="s">
        <v>240</v>
      </c>
      <c r="F198" s="8">
        <v>16.8</v>
      </c>
      <c r="G198" s="9">
        <v>11</v>
      </c>
      <c r="H198" s="9">
        <v>25</v>
      </c>
      <c r="I198" s="10">
        <v>1</v>
      </c>
      <c r="J198" s="11" t="s">
        <v>241</v>
      </c>
      <c r="K198" s="11">
        <v>0</v>
      </c>
      <c r="L198" s="11">
        <v>0.4027</v>
      </c>
      <c r="M198" s="11">
        <v>4.4298000000000002</v>
      </c>
      <c r="N198" s="11">
        <v>0.22639999999999999</v>
      </c>
    </row>
    <row r="199" spans="2:14" ht="15" customHeight="1" x14ac:dyDescent="0.25">
      <c r="B199" s="6" t="s">
        <v>623</v>
      </c>
      <c r="C199" s="7" t="s">
        <v>624</v>
      </c>
      <c r="D199" s="6" t="s">
        <v>240</v>
      </c>
      <c r="E199" s="6" t="s">
        <v>240</v>
      </c>
      <c r="F199" s="8">
        <v>4.9000000000000004</v>
      </c>
      <c r="G199" s="9">
        <v>1</v>
      </c>
      <c r="H199" s="9">
        <v>15</v>
      </c>
      <c r="I199" s="10">
        <v>1</v>
      </c>
      <c r="J199" s="11" t="s">
        <v>241</v>
      </c>
      <c r="K199" s="11" t="s">
        <v>241</v>
      </c>
      <c r="L199" s="11" t="s">
        <v>241</v>
      </c>
      <c r="M199" s="11">
        <v>1.1333</v>
      </c>
      <c r="N199" s="11">
        <v>0.26690000000000003</v>
      </c>
    </row>
    <row r="200" spans="2:14" ht="15" customHeight="1" x14ac:dyDescent="0.25">
      <c r="B200" s="6" t="s">
        <v>625</v>
      </c>
      <c r="C200" s="7" t="s">
        <v>626</v>
      </c>
      <c r="D200" s="6" t="s">
        <v>240</v>
      </c>
      <c r="E200" s="6" t="s">
        <v>240</v>
      </c>
      <c r="F200" s="8">
        <v>8.4</v>
      </c>
      <c r="G200" s="9">
        <v>2</v>
      </c>
      <c r="H200" s="9">
        <v>24</v>
      </c>
      <c r="I200" s="10">
        <v>2</v>
      </c>
      <c r="J200" s="11" t="s">
        <v>241</v>
      </c>
      <c r="K200" s="11">
        <v>0</v>
      </c>
      <c r="L200" s="11">
        <v>1.1520999999999999</v>
      </c>
      <c r="M200" s="11">
        <v>2.3041999999999998</v>
      </c>
      <c r="N200" s="11">
        <v>0.2374</v>
      </c>
    </row>
    <row r="201" spans="2:14" ht="15" customHeight="1" x14ac:dyDescent="0.25">
      <c r="B201" s="6" t="s">
        <v>627</v>
      </c>
      <c r="C201" s="7" t="s">
        <v>628</v>
      </c>
      <c r="D201" s="6" t="s">
        <v>240</v>
      </c>
      <c r="E201" s="6" t="s">
        <v>240</v>
      </c>
      <c r="F201" s="8">
        <v>5.0999999999999996</v>
      </c>
      <c r="G201" s="9">
        <v>1</v>
      </c>
      <c r="H201" s="9">
        <v>15</v>
      </c>
      <c r="I201" s="10">
        <v>2</v>
      </c>
      <c r="J201" s="11" t="s">
        <v>241</v>
      </c>
      <c r="K201" s="11" t="s">
        <v>241</v>
      </c>
      <c r="L201" s="11" t="s">
        <v>241</v>
      </c>
      <c r="M201" s="11">
        <v>1.1335</v>
      </c>
      <c r="N201" s="11">
        <v>0.17749999999999999</v>
      </c>
    </row>
    <row r="202" spans="2:14" ht="15" customHeight="1" x14ac:dyDescent="0.25">
      <c r="B202" s="6" t="s">
        <v>629</v>
      </c>
      <c r="C202" s="7" t="s">
        <v>630</v>
      </c>
      <c r="D202" s="6" t="s">
        <v>240</v>
      </c>
      <c r="E202" s="6" t="s">
        <v>240</v>
      </c>
      <c r="F202" s="8">
        <v>10.3</v>
      </c>
      <c r="G202" s="9">
        <v>3</v>
      </c>
      <c r="H202" s="9">
        <v>30</v>
      </c>
      <c r="I202" s="10">
        <v>1</v>
      </c>
      <c r="J202" s="11" t="s">
        <v>241</v>
      </c>
      <c r="K202" s="11">
        <v>3.4049</v>
      </c>
      <c r="L202" s="11">
        <v>1.4746999999999999</v>
      </c>
      <c r="M202" s="11">
        <v>7.8291000000000004</v>
      </c>
      <c r="N202" s="11">
        <v>0.28949999999999998</v>
      </c>
    </row>
    <row r="203" spans="2:14" ht="15" customHeight="1" x14ac:dyDescent="0.25">
      <c r="B203" s="6" t="s">
        <v>631</v>
      </c>
      <c r="C203" s="7" t="s">
        <v>632</v>
      </c>
      <c r="D203" s="6" t="s">
        <v>240</v>
      </c>
      <c r="E203" s="6" t="s">
        <v>240</v>
      </c>
      <c r="F203" s="8">
        <v>2</v>
      </c>
      <c r="G203" s="9">
        <v>1</v>
      </c>
      <c r="H203" s="9">
        <v>6</v>
      </c>
      <c r="I203" s="10">
        <v>1</v>
      </c>
      <c r="J203" s="11" t="s">
        <v>241</v>
      </c>
      <c r="K203" s="11" t="s">
        <v>241</v>
      </c>
      <c r="L203" s="11" t="s">
        <v>241</v>
      </c>
      <c r="M203" s="11">
        <v>3.7778</v>
      </c>
      <c r="N203" s="11">
        <v>0.37319999999999998</v>
      </c>
    </row>
    <row r="204" spans="2:14" ht="15" customHeight="1" x14ac:dyDescent="0.25">
      <c r="B204" s="6" t="s">
        <v>633</v>
      </c>
      <c r="C204" s="7" t="s">
        <v>634</v>
      </c>
      <c r="D204" s="6" t="s">
        <v>240</v>
      </c>
      <c r="E204" s="6" t="s">
        <v>240</v>
      </c>
      <c r="F204" s="8">
        <v>4.5999999999999996</v>
      </c>
      <c r="G204" s="9">
        <v>1</v>
      </c>
      <c r="H204" s="9">
        <v>12</v>
      </c>
      <c r="I204" s="10">
        <v>1</v>
      </c>
      <c r="J204" s="11" t="s">
        <v>241</v>
      </c>
      <c r="K204" s="11" t="s">
        <v>241</v>
      </c>
      <c r="L204" s="11" t="s">
        <v>241</v>
      </c>
      <c r="M204" s="11">
        <v>2.7033999999999998</v>
      </c>
      <c r="N204" s="11">
        <v>0.3296</v>
      </c>
    </row>
    <row r="205" spans="2:14" ht="15" customHeight="1" x14ac:dyDescent="0.25">
      <c r="B205" s="6" t="s">
        <v>635</v>
      </c>
      <c r="C205" s="7" t="s">
        <v>636</v>
      </c>
      <c r="D205" s="6" t="s">
        <v>240</v>
      </c>
      <c r="E205" s="6" t="s">
        <v>240</v>
      </c>
      <c r="F205" s="8">
        <v>24.8</v>
      </c>
      <c r="G205" s="9">
        <v>8</v>
      </c>
      <c r="H205" s="9">
        <v>74</v>
      </c>
      <c r="I205" s="10">
        <v>1</v>
      </c>
      <c r="J205" s="11" t="s">
        <v>241</v>
      </c>
      <c r="K205" s="11">
        <v>4.4596</v>
      </c>
      <c r="L205" s="11">
        <v>1.3534999999999999</v>
      </c>
      <c r="M205" s="11">
        <v>15.287599999999999</v>
      </c>
      <c r="N205" s="11">
        <v>0.3407</v>
      </c>
    </row>
    <row r="206" spans="2:14" ht="15" customHeight="1" x14ac:dyDescent="0.25">
      <c r="B206" s="6" t="s">
        <v>637</v>
      </c>
      <c r="C206" s="7" t="s">
        <v>638</v>
      </c>
      <c r="D206" s="6" t="s">
        <v>240</v>
      </c>
      <c r="E206" s="6" t="s">
        <v>240</v>
      </c>
      <c r="F206" s="8">
        <v>15.7</v>
      </c>
      <c r="G206" s="9">
        <v>3</v>
      </c>
      <c r="H206" s="9">
        <v>33</v>
      </c>
      <c r="I206" s="10">
        <v>1</v>
      </c>
      <c r="J206" s="11" t="s">
        <v>241</v>
      </c>
      <c r="K206" s="11">
        <v>4.4954999999999998</v>
      </c>
      <c r="L206" s="11">
        <v>2.1556000000000002</v>
      </c>
      <c r="M206" s="11">
        <v>10.9625</v>
      </c>
      <c r="N206" s="11">
        <v>0.26450000000000001</v>
      </c>
    </row>
    <row r="207" spans="2:14" ht="15" customHeight="1" x14ac:dyDescent="0.25">
      <c r="B207" s="6" t="s">
        <v>639</v>
      </c>
      <c r="C207" s="7" t="s">
        <v>640</v>
      </c>
      <c r="D207" s="6" t="s">
        <v>240</v>
      </c>
      <c r="E207" s="6" t="s">
        <v>240</v>
      </c>
      <c r="F207" s="8">
        <v>16.399999999999999</v>
      </c>
      <c r="G207" s="9">
        <v>5</v>
      </c>
      <c r="H207" s="9">
        <v>52</v>
      </c>
      <c r="I207" s="10">
        <v>1.18</v>
      </c>
      <c r="J207" s="11" t="s">
        <v>241</v>
      </c>
      <c r="K207" s="11">
        <v>4.4909999999999997</v>
      </c>
      <c r="L207" s="11">
        <v>1.6919</v>
      </c>
      <c r="M207" s="11">
        <v>12.9506</v>
      </c>
      <c r="N207" s="11">
        <v>0.29909999999999998</v>
      </c>
    </row>
    <row r="208" spans="2:14" ht="15" customHeight="1" x14ac:dyDescent="0.25">
      <c r="B208" s="6" t="s">
        <v>641</v>
      </c>
      <c r="C208" s="7" t="s">
        <v>642</v>
      </c>
      <c r="D208" s="6" t="s">
        <v>240</v>
      </c>
      <c r="E208" s="6" t="s">
        <v>240</v>
      </c>
      <c r="F208" s="8">
        <v>9.4</v>
      </c>
      <c r="G208" s="9">
        <v>2</v>
      </c>
      <c r="H208" s="9">
        <v>27</v>
      </c>
      <c r="I208" s="10">
        <v>1.05</v>
      </c>
      <c r="J208" s="11" t="s">
        <v>241</v>
      </c>
      <c r="K208" s="11">
        <v>4.1101999999999999</v>
      </c>
      <c r="L208" s="11">
        <v>2.3119999999999998</v>
      </c>
      <c r="M208" s="11">
        <v>8.7340999999999998</v>
      </c>
      <c r="N208" s="11">
        <v>0.3</v>
      </c>
    </row>
    <row r="209" spans="2:14" ht="15" customHeight="1" x14ac:dyDescent="0.25">
      <c r="B209" s="6" t="s">
        <v>643</v>
      </c>
      <c r="C209" s="7" t="s">
        <v>644</v>
      </c>
      <c r="D209" s="6" t="s">
        <v>240</v>
      </c>
      <c r="E209" s="6" t="s">
        <v>240</v>
      </c>
      <c r="F209" s="8">
        <v>7.2</v>
      </c>
      <c r="G209" s="9">
        <v>2</v>
      </c>
      <c r="H209" s="9">
        <v>22</v>
      </c>
      <c r="I209" s="10">
        <v>1.07</v>
      </c>
      <c r="J209" s="11" t="s">
        <v>241</v>
      </c>
      <c r="K209" s="11">
        <v>4.3615000000000004</v>
      </c>
      <c r="L209" s="11">
        <v>1.4439</v>
      </c>
      <c r="M209" s="11">
        <v>7.2493999999999996</v>
      </c>
      <c r="N209" s="11">
        <v>0.28960000000000002</v>
      </c>
    </row>
    <row r="210" spans="2:14" ht="15" customHeight="1" x14ac:dyDescent="0.25">
      <c r="B210" s="6" t="s">
        <v>645</v>
      </c>
      <c r="C210" s="7" t="s">
        <v>646</v>
      </c>
      <c r="D210" s="6" t="s">
        <v>240</v>
      </c>
      <c r="E210" s="6" t="s">
        <v>240</v>
      </c>
      <c r="F210" s="8">
        <v>18.2</v>
      </c>
      <c r="G210" s="9">
        <v>5</v>
      </c>
      <c r="H210" s="9">
        <v>52</v>
      </c>
      <c r="I210" s="10">
        <v>1</v>
      </c>
      <c r="J210" s="11" t="s">
        <v>241</v>
      </c>
      <c r="K210" s="11">
        <v>3.5457999999999998</v>
      </c>
      <c r="L210" s="11">
        <v>1.5315000000000001</v>
      </c>
      <c r="M210" s="11">
        <v>11.2033</v>
      </c>
      <c r="N210" s="11">
        <v>0.3034</v>
      </c>
    </row>
    <row r="211" spans="2:14" ht="15" customHeight="1" x14ac:dyDescent="0.25">
      <c r="B211" s="6" t="s">
        <v>647</v>
      </c>
      <c r="C211" s="7" t="s">
        <v>648</v>
      </c>
      <c r="D211" s="6" t="s">
        <v>240</v>
      </c>
      <c r="E211" s="6" t="s">
        <v>240</v>
      </c>
      <c r="F211" s="8">
        <v>12.3</v>
      </c>
      <c r="G211" s="9">
        <v>4</v>
      </c>
      <c r="H211" s="9">
        <v>36</v>
      </c>
      <c r="I211" s="10">
        <v>1</v>
      </c>
      <c r="J211" s="11" t="s">
        <v>241</v>
      </c>
      <c r="K211" s="11">
        <v>2.8494000000000002</v>
      </c>
      <c r="L211" s="11">
        <v>1.3994</v>
      </c>
      <c r="M211" s="11">
        <v>8.4471000000000007</v>
      </c>
      <c r="N211" s="11">
        <v>0.29559999999999997</v>
      </c>
    </row>
    <row r="212" spans="2:14" ht="15" customHeight="1" x14ac:dyDescent="0.25">
      <c r="B212" s="6" t="s">
        <v>649</v>
      </c>
      <c r="C212" s="7" t="s">
        <v>650</v>
      </c>
      <c r="D212" s="6" t="s">
        <v>240</v>
      </c>
      <c r="E212" s="6" t="s">
        <v>240</v>
      </c>
      <c r="F212" s="8">
        <v>12.3</v>
      </c>
      <c r="G212" s="9">
        <v>4</v>
      </c>
      <c r="H212" s="9">
        <v>37</v>
      </c>
      <c r="I212" s="10">
        <v>1</v>
      </c>
      <c r="J212" s="11" t="s">
        <v>241</v>
      </c>
      <c r="K212" s="11">
        <v>3.0522</v>
      </c>
      <c r="L212" s="11">
        <v>1.5692999999999999</v>
      </c>
      <c r="M212" s="11">
        <v>9.3292999999999999</v>
      </c>
      <c r="N212" s="11">
        <v>0.3367</v>
      </c>
    </row>
    <row r="213" spans="2:14" ht="15" customHeight="1" x14ac:dyDescent="0.25">
      <c r="B213" s="6" t="s">
        <v>651</v>
      </c>
      <c r="C213" s="7" t="s">
        <v>652</v>
      </c>
      <c r="D213" s="6" t="s">
        <v>240</v>
      </c>
      <c r="E213" s="6" t="s">
        <v>240</v>
      </c>
      <c r="F213" s="8">
        <v>8.1</v>
      </c>
      <c r="G213" s="9">
        <v>2</v>
      </c>
      <c r="H213" s="9">
        <v>24</v>
      </c>
      <c r="I213" s="10">
        <v>1</v>
      </c>
      <c r="J213" s="11" t="s">
        <v>241</v>
      </c>
      <c r="K213" s="11">
        <v>2.2966000000000002</v>
      </c>
      <c r="L213" s="11">
        <v>2.2172000000000001</v>
      </c>
      <c r="M213" s="11">
        <v>6.7309999999999999</v>
      </c>
      <c r="N213" s="11">
        <v>0.2984</v>
      </c>
    </row>
    <row r="214" spans="2:14" ht="15" customHeight="1" x14ac:dyDescent="0.25">
      <c r="B214" s="6" t="s">
        <v>653</v>
      </c>
      <c r="C214" s="7" t="s">
        <v>654</v>
      </c>
      <c r="D214" s="6" t="s">
        <v>240</v>
      </c>
      <c r="E214" s="6" t="s">
        <v>240</v>
      </c>
      <c r="F214" s="8">
        <v>6.7</v>
      </c>
      <c r="G214" s="9">
        <v>2</v>
      </c>
      <c r="H214" s="9">
        <v>19</v>
      </c>
      <c r="I214" s="10">
        <v>1</v>
      </c>
      <c r="J214" s="11" t="s">
        <v>241</v>
      </c>
      <c r="K214" s="11">
        <v>2.2044999999999999</v>
      </c>
      <c r="L214" s="11">
        <v>1.8283</v>
      </c>
      <c r="M214" s="11">
        <v>5.8609999999999998</v>
      </c>
      <c r="N214" s="11">
        <v>0.27139999999999997</v>
      </c>
    </row>
    <row r="215" spans="2:14" ht="15" customHeight="1" x14ac:dyDescent="0.25">
      <c r="B215" s="6" t="s">
        <v>655</v>
      </c>
      <c r="C215" s="7" t="s">
        <v>656</v>
      </c>
      <c r="D215" s="6" t="s">
        <v>240</v>
      </c>
      <c r="E215" s="6" t="s">
        <v>240</v>
      </c>
      <c r="F215" s="8">
        <v>15.4</v>
      </c>
      <c r="G215" s="9">
        <v>4</v>
      </c>
      <c r="H215" s="9">
        <v>39</v>
      </c>
      <c r="I215" s="10">
        <v>1.19</v>
      </c>
      <c r="J215" s="11" t="s">
        <v>241</v>
      </c>
      <c r="K215" s="11">
        <v>3.9719000000000002</v>
      </c>
      <c r="L215" s="11">
        <v>2.1757</v>
      </c>
      <c r="M215" s="11">
        <v>12.6746</v>
      </c>
      <c r="N215" s="11">
        <v>0.4178</v>
      </c>
    </row>
    <row r="216" spans="2:14" ht="15" customHeight="1" x14ac:dyDescent="0.25">
      <c r="B216" s="6" t="s">
        <v>657</v>
      </c>
      <c r="C216" s="7" t="s">
        <v>658</v>
      </c>
      <c r="D216" s="6" t="s">
        <v>240</v>
      </c>
      <c r="E216" s="6" t="s">
        <v>240</v>
      </c>
      <c r="F216" s="8">
        <v>8.4</v>
      </c>
      <c r="G216" s="9">
        <v>2</v>
      </c>
      <c r="H216" s="9">
        <v>23</v>
      </c>
      <c r="I216" s="10">
        <v>1</v>
      </c>
      <c r="J216" s="11" t="s">
        <v>241</v>
      </c>
      <c r="K216" s="11">
        <v>2.6535000000000002</v>
      </c>
      <c r="L216" s="11">
        <v>2.8292999999999999</v>
      </c>
      <c r="M216" s="11">
        <v>8.3120999999999992</v>
      </c>
      <c r="N216" s="11">
        <v>0.4128</v>
      </c>
    </row>
    <row r="217" spans="2:14" ht="15" customHeight="1" x14ac:dyDescent="0.25">
      <c r="B217" s="6" t="s">
        <v>659</v>
      </c>
      <c r="C217" s="7" t="s">
        <v>660</v>
      </c>
      <c r="D217" s="6" t="s">
        <v>240</v>
      </c>
      <c r="E217" s="6" t="s">
        <v>240</v>
      </c>
      <c r="F217" s="8">
        <v>5.7</v>
      </c>
      <c r="G217" s="9">
        <v>1</v>
      </c>
      <c r="H217" s="9">
        <v>17</v>
      </c>
      <c r="I217" s="10">
        <v>1</v>
      </c>
      <c r="J217" s="11" t="s">
        <v>241</v>
      </c>
      <c r="K217" s="11" t="s">
        <v>241</v>
      </c>
      <c r="L217" s="11" t="s">
        <v>241</v>
      </c>
      <c r="M217" s="11">
        <v>5.8342999999999998</v>
      </c>
      <c r="N217" s="11">
        <v>0.35820000000000002</v>
      </c>
    </row>
    <row r="218" spans="2:14" ht="15" customHeight="1" x14ac:dyDescent="0.25">
      <c r="B218" s="6" t="s">
        <v>661</v>
      </c>
      <c r="C218" s="7" t="s">
        <v>662</v>
      </c>
      <c r="D218" s="6" t="s">
        <v>240</v>
      </c>
      <c r="E218" s="6" t="s">
        <v>240</v>
      </c>
      <c r="F218" s="8">
        <v>16.7</v>
      </c>
      <c r="G218" s="9">
        <v>5</v>
      </c>
      <c r="H218" s="9">
        <v>51</v>
      </c>
      <c r="I218" s="10">
        <v>1</v>
      </c>
      <c r="J218" s="11" t="s">
        <v>241</v>
      </c>
      <c r="K218" s="11">
        <v>3.7688000000000001</v>
      </c>
      <c r="L218" s="11">
        <v>1.4497</v>
      </c>
      <c r="M218" s="11">
        <v>11.0174</v>
      </c>
      <c r="N218" s="11">
        <v>0.33629999999999999</v>
      </c>
    </row>
    <row r="219" spans="2:14" ht="15" customHeight="1" x14ac:dyDescent="0.25">
      <c r="B219" s="6" t="s">
        <v>663</v>
      </c>
      <c r="C219" s="7" t="s">
        <v>664</v>
      </c>
      <c r="D219" s="6" t="s">
        <v>240</v>
      </c>
      <c r="E219" s="6" t="s">
        <v>240</v>
      </c>
      <c r="F219" s="8">
        <v>8.5</v>
      </c>
      <c r="G219" s="9">
        <v>2</v>
      </c>
      <c r="H219" s="9">
        <v>24</v>
      </c>
      <c r="I219" s="10">
        <v>1</v>
      </c>
      <c r="J219" s="11" t="s">
        <v>241</v>
      </c>
      <c r="K219" s="11">
        <v>3.4308999999999998</v>
      </c>
      <c r="L219" s="11">
        <v>1.4943</v>
      </c>
      <c r="M219" s="11">
        <v>6.4196</v>
      </c>
      <c r="N219" s="11">
        <v>0.23860000000000001</v>
      </c>
    </row>
    <row r="220" spans="2:14" ht="15" customHeight="1" x14ac:dyDescent="0.25">
      <c r="B220" s="6" t="s">
        <v>665</v>
      </c>
      <c r="C220" s="7" t="s">
        <v>666</v>
      </c>
      <c r="D220" s="6" t="s">
        <v>240</v>
      </c>
      <c r="E220" s="6" t="s">
        <v>240</v>
      </c>
      <c r="F220" s="8">
        <v>4.4000000000000004</v>
      </c>
      <c r="G220" s="9">
        <v>1</v>
      </c>
      <c r="H220" s="9">
        <v>14</v>
      </c>
      <c r="I220" s="10">
        <v>1</v>
      </c>
      <c r="J220" s="11" t="s">
        <v>241</v>
      </c>
      <c r="K220" s="11" t="s">
        <v>241</v>
      </c>
      <c r="L220" s="11" t="s">
        <v>241</v>
      </c>
      <c r="M220" s="11">
        <v>4.1856999999999998</v>
      </c>
      <c r="N220" s="11">
        <v>0.29160000000000003</v>
      </c>
    </row>
    <row r="221" spans="2:14" ht="15" customHeight="1" x14ac:dyDescent="0.25">
      <c r="B221" s="6" t="s">
        <v>667</v>
      </c>
      <c r="C221" s="7" t="s">
        <v>668</v>
      </c>
      <c r="D221" s="6" t="s">
        <v>240</v>
      </c>
      <c r="E221" s="6" t="s">
        <v>240</v>
      </c>
      <c r="F221" s="8">
        <v>11.7</v>
      </c>
      <c r="G221" s="9">
        <v>3</v>
      </c>
      <c r="H221" s="9">
        <v>33</v>
      </c>
      <c r="I221" s="10">
        <v>1.07</v>
      </c>
      <c r="J221" s="11" t="s">
        <v>241</v>
      </c>
      <c r="K221" s="11">
        <v>1.3335999999999999</v>
      </c>
      <c r="L221" s="11">
        <v>1.8089</v>
      </c>
      <c r="M221" s="11">
        <v>6.7603999999999997</v>
      </c>
      <c r="N221" s="11">
        <v>0.31180000000000002</v>
      </c>
    </row>
    <row r="222" spans="2:14" ht="15" customHeight="1" x14ac:dyDescent="0.25">
      <c r="B222" s="6" t="s">
        <v>669</v>
      </c>
      <c r="C222" s="7" t="s">
        <v>670</v>
      </c>
      <c r="D222" s="6" t="s">
        <v>240</v>
      </c>
      <c r="E222" s="6" t="s">
        <v>240</v>
      </c>
      <c r="F222" s="8">
        <v>3.4</v>
      </c>
      <c r="G222" s="9">
        <v>1</v>
      </c>
      <c r="H222" s="9">
        <v>11</v>
      </c>
      <c r="I222" s="10">
        <v>1</v>
      </c>
      <c r="J222" s="11" t="s">
        <v>241</v>
      </c>
      <c r="K222" s="11" t="s">
        <v>241</v>
      </c>
      <c r="L222" s="11" t="s">
        <v>241</v>
      </c>
      <c r="M222" s="11">
        <v>2.8992</v>
      </c>
      <c r="N222" s="11">
        <v>0.39040000000000002</v>
      </c>
    </row>
    <row r="223" spans="2:14" ht="15" customHeight="1" x14ac:dyDescent="0.25">
      <c r="B223" s="6" t="s">
        <v>671</v>
      </c>
      <c r="C223" s="7" t="s">
        <v>672</v>
      </c>
      <c r="D223" s="6" t="s">
        <v>240</v>
      </c>
      <c r="E223" s="6" t="s">
        <v>240</v>
      </c>
      <c r="F223" s="8">
        <v>6.9</v>
      </c>
      <c r="G223" s="9">
        <v>2</v>
      </c>
      <c r="H223" s="9">
        <v>21</v>
      </c>
      <c r="I223" s="10">
        <v>1</v>
      </c>
      <c r="J223" s="11" t="s">
        <v>241</v>
      </c>
      <c r="K223" s="11">
        <v>0.83399999999999996</v>
      </c>
      <c r="L223" s="11">
        <v>1.3915</v>
      </c>
      <c r="M223" s="11">
        <v>3.6171000000000002</v>
      </c>
      <c r="N223" s="11">
        <v>0.29859999999999998</v>
      </c>
    </row>
    <row r="224" spans="2:14" ht="15" customHeight="1" x14ac:dyDescent="0.25">
      <c r="B224" s="6" t="s">
        <v>673</v>
      </c>
      <c r="C224" s="7" t="s">
        <v>674</v>
      </c>
      <c r="D224" s="6" t="s">
        <v>240</v>
      </c>
      <c r="E224" s="6" t="s">
        <v>240</v>
      </c>
      <c r="F224" s="8">
        <v>3</v>
      </c>
      <c r="G224" s="9">
        <v>1</v>
      </c>
      <c r="H224" s="9">
        <v>9</v>
      </c>
      <c r="I224" s="10">
        <v>1</v>
      </c>
      <c r="J224" s="11" t="s">
        <v>241</v>
      </c>
      <c r="K224" s="11" t="s">
        <v>241</v>
      </c>
      <c r="L224" s="11" t="s">
        <v>241</v>
      </c>
      <c r="M224" s="11">
        <v>2.0103</v>
      </c>
      <c r="N224" s="11">
        <v>0.31759999999999999</v>
      </c>
    </row>
    <row r="225" spans="2:14" ht="15" customHeight="1" x14ac:dyDescent="0.25">
      <c r="B225" s="6" t="s">
        <v>675</v>
      </c>
      <c r="C225" s="7" t="s">
        <v>676</v>
      </c>
      <c r="D225" s="6" t="s">
        <v>240</v>
      </c>
      <c r="E225" s="6" t="s">
        <v>240</v>
      </c>
      <c r="F225" s="8">
        <v>34.4</v>
      </c>
      <c r="G225" s="9">
        <v>10</v>
      </c>
      <c r="H225" s="9">
        <v>91</v>
      </c>
      <c r="I225" s="10">
        <v>1</v>
      </c>
      <c r="J225" s="11" t="s">
        <v>241</v>
      </c>
      <c r="K225" s="11">
        <v>2.4775</v>
      </c>
      <c r="L225" s="11">
        <v>1.2045999999999999</v>
      </c>
      <c r="M225" s="11">
        <v>14.5235</v>
      </c>
      <c r="N225" s="11">
        <v>0.27779999999999999</v>
      </c>
    </row>
    <row r="226" spans="2:14" ht="15" customHeight="1" x14ac:dyDescent="0.25">
      <c r="B226" s="6" t="s">
        <v>677</v>
      </c>
      <c r="C226" s="7" t="s">
        <v>678</v>
      </c>
      <c r="D226" s="6" t="s">
        <v>240</v>
      </c>
      <c r="E226" s="6" t="s">
        <v>240</v>
      </c>
      <c r="F226" s="8">
        <v>19</v>
      </c>
      <c r="G226" s="9">
        <v>6</v>
      </c>
      <c r="H226" s="9">
        <v>55</v>
      </c>
      <c r="I226" s="10">
        <v>1</v>
      </c>
      <c r="J226" s="11" t="s">
        <v>241</v>
      </c>
      <c r="K226" s="11">
        <v>1.0992</v>
      </c>
      <c r="L226" s="11">
        <v>1.123</v>
      </c>
      <c r="M226" s="11">
        <v>7.8371000000000004</v>
      </c>
      <c r="N226" s="11">
        <v>0.30809999999999998</v>
      </c>
    </row>
    <row r="227" spans="2:14" ht="15" customHeight="1" x14ac:dyDescent="0.25">
      <c r="B227" s="6" t="s">
        <v>679</v>
      </c>
      <c r="C227" s="7" t="s">
        <v>680</v>
      </c>
      <c r="D227" s="6" t="s">
        <v>240</v>
      </c>
      <c r="E227" s="6" t="s">
        <v>240</v>
      </c>
      <c r="F227" s="8">
        <v>7.5</v>
      </c>
      <c r="G227" s="9">
        <v>2</v>
      </c>
      <c r="H227" s="9">
        <v>21</v>
      </c>
      <c r="I227" s="10">
        <v>1</v>
      </c>
      <c r="J227" s="11" t="s">
        <v>241</v>
      </c>
      <c r="K227" s="11">
        <v>1.5848</v>
      </c>
      <c r="L227" s="11">
        <v>1.2082999999999999</v>
      </c>
      <c r="M227" s="11">
        <v>4.0015000000000001</v>
      </c>
      <c r="N227" s="11">
        <v>0.26779999999999998</v>
      </c>
    </row>
    <row r="228" spans="2:14" ht="15" customHeight="1" x14ac:dyDescent="0.25">
      <c r="B228" s="6" t="s">
        <v>681</v>
      </c>
      <c r="C228" s="7" t="s">
        <v>682</v>
      </c>
      <c r="D228" s="6" t="s">
        <v>290</v>
      </c>
      <c r="E228" s="6" t="s">
        <v>240</v>
      </c>
      <c r="F228" s="8">
        <v>2.8</v>
      </c>
      <c r="G228" s="9">
        <v>1</v>
      </c>
      <c r="H228" s="9">
        <v>8</v>
      </c>
      <c r="I228" s="10">
        <v>1</v>
      </c>
      <c r="J228" s="11">
        <v>1.3777999999999999</v>
      </c>
      <c r="K228" s="11" t="s">
        <v>241</v>
      </c>
      <c r="L228" s="11" t="s">
        <v>241</v>
      </c>
      <c r="M228" s="11">
        <v>2.3090999999999999</v>
      </c>
      <c r="N228" s="11">
        <v>0.2389</v>
      </c>
    </row>
    <row r="229" spans="2:14" ht="15" customHeight="1" x14ac:dyDescent="0.25">
      <c r="B229" s="6" t="s">
        <v>683</v>
      </c>
      <c r="C229" s="7" t="s">
        <v>684</v>
      </c>
      <c r="D229" s="6" t="s">
        <v>240</v>
      </c>
      <c r="E229" s="6" t="s">
        <v>240</v>
      </c>
      <c r="F229" s="8">
        <v>20.8</v>
      </c>
      <c r="G229" s="9">
        <v>13</v>
      </c>
      <c r="H229" s="9">
        <v>30</v>
      </c>
      <c r="I229" s="10">
        <v>1</v>
      </c>
      <c r="J229" s="11" t="s">
        <v>241</v>
      </c>
      <c r="K229" s="11">
        <v>0.77129999999999999</v>
      </c>
      <c r="L229" s="11">
        <v>0.53190000000000004</v>
      </c>
      <c r="M229" s="11">
        <v>7.6858000000000004</v>
      </c>
      <c r="N229" s="11">
        <v>0.2757</v>
      </c>
    </row>
    <row r="230" spans="2:14" ht="15" customHeight="1" x14ac:dyDescent="0.25">
      <c r="B230" s="6" t="s">
        <v>685</v>
      </c>
      <c r="C230" s="7" t="s">
        <v>686</v>
      </c>
      <c r="D230" s="6" t="s">
        <v>240</v>
      </c>
      <c r="E230" s="6" t="s">
        <v>240</v>
      </c>
      <c r="F230" s="8">
        <v>7.8</v>
      </c>
      <c r="G230" s="9">
        <v>2</v>
      </c>
      <c r="H230" s="9">
        <v>24</v>
      </c>
      <c r="I230" s="10">
        <v>1</v>
      </c>
      <c r="J230" s="11" t="s">
        <v>241</v>
      </c>
      <c r="K230" s="11">
        <v>0.47260000000000002</v>
      </c>
      <c r="L230" s="11">
        <v>1.3118000000000001</v>
      </c>
      <c r="M230" s="11">
        <v>3.0962000000000001</v>
      </c>
      <c r="N230" s="11">
        <v>0.23369999999999999</v>
      </c>
    </row>
    <row r="231" spans="2:14" ht="15" customHeight="1" x14ac:dyDescent="0.25">
      <c r="B231" s="6" t="s">
        <v>687</v>
      </c>
      <c r="C231" s="7" t="s">
        <v>688</v>
      </c>
      <c r="D231" s="6" t="s">
        <v>240</v>
      </c>
      <c r="E231" s="6" t="s">
        <v>240</v>
      </c>
      <c r="F231" s="8">
        <v>13.1</v>
      </c>
      <c r="G231" s="9">
        <v>4</v>
      </c>
      <c r="H231" s="9">
        <v>36</v>
      </c>
      <c r="I231" s="10">
        <v>1.59</v>
      </c>
      <c r="J231" s="11" t="s">
        <v>241</v>
      </c>
      <c r="K231" s="11">
        <v>1.4881</v>
      </c>
      <c r="L231" s="11">
        <v>1.3111999999999999</v>
      </c>
      <c r="M231" s="11">
        <v>6.7328000000000001</v>
      </c>
      <c r="N231" s="11">
        <v>0.29299999999999998</v>
      </c>
    </row>
    <row r="232" spans="2:14" ht="15" customHeight="1" x14ac:dyDescent="0.25">
      <c r="B232" s="6" t="s">
        <v>689</v>
      </c>
      <c r="C232" s="7" t="s">
        <v>690</v>
      </c>
      <c r="D232" s="6" t="s">
        <v>240</v>
      </c>
      <c r="E232" s="6" t="s">
        <v>240</v>
      </c>
      <c r="F232" s="8">
        <v>4.0999999999999996</v>
      </c>
      <c r="G232" s="9">
        <v>1</v>
      </c>
      <c r="H232" s="9">
        <v>12</v>
      </c>
      <c r="I232" s="10">
        <v>1.1299999999999999</v>
      </c>
      <c r="J232" s="11" t="s">
        <v>241</v>
      </c>
      <c r="K232" s="11" t="s">
        <v>241</v>
      </c>
      <c r="L232" s="11" t="s">
        <v>241</v>
      </c>
      <c r="M232" s="11">
        <v>2.7951999999999999</v>
      </c>
      <c r="N232" s="11">
        <v>0.26669999999999999</v>
      </c>
    </row>
    <row r="233" spans="2:14" ht="15" customHeight="1" x14ac:dyDescent="0.25">
      <c r="B233" s="6" t="s">
        <v>691</v>
      </c>
      <c r="C233" s="7" t="s">
        <v>692</v>
      </c>
      <c r="D233" s="6" t="s">
        <v>240</v>
      </c>
      <c r="E233" s="6" t="s">
        <v>240</v>
      </c>
      <c r="F233" s="8">
        <v>1.5</v>
      </c>
      <c r="G233" s="9">
        <v>1</v>
      </c>
      <c r="H233" s="9">
        <v>5</v>
      </c>
      <c r="I233" s="10">
        <v>1.1000000000000001</v>
      </c>
      <c r="J233" s="11" t="s">
        <v>241</v>
      </c>
      <c r="K233" s="11" t="s">
        <v>241</v>
      </c>
      <c r="L233" s="11" t="s">
        <v>241</v>
      </c>
      <c r="M233" s="11">
        <v>1.5336000000000001</v>
      </c>
      <c r="N233" s="11">
        <v>0.35210000000000002</v>
      </c>
    </row>
    <row r="234" spans="2:14" ht="15" customHeight="1" x14ac:dyDescent="0.25">
      <c r="B234" s="6" t="s">
        <v>693</v>
      </c>
      <c r="C234" s="7" t="s">
        <v>694</v>
      </c>
      <c r="D234" s="6" t="s">
        <v>240</v>
      </c>
      <c r="E234" s="6" t="s">
        <v>240</v>
      </c>
      <c r="F234" s="8">
        <v>3.6</v>
      </c>
      <c r="G234" s="9">
        <v>1</v>
      </c>
      <c r="H234" s="9">
        <v>11</v>
      </c>
      <c r="I234" s="10">
        <v>1</v>
      </c>
      <c r="J234" s="11" t="s">
        <v>241</v>
      </c>
      <c r="K234" s="11" t="s">
        <v>241</v>
      </c>
      <c r="L234" s="11" t="s">
        <v>241</v>
      </c>
      <c r="M234" s="11">
        <v>2.3317000000000001</v>
      </c>
      <c r="N234" s="11">
        <v>0.25840000000000002</v>
      </c>
    </row>
    <row r="235" spans="2:14" ht="15" customHeight="1" x14ac:dyDescent="0.25">
      <c r="B235" s="6" t="s">
        <v>695</v>
      </c>
      <c r="C235" s="7" t="s">
        <v>696</v>
      </c>
      <c r="D235" s="6" t="s">
        <v>240</v>
      </c>
      <c r="E235" s="6" t="s">
        <v>240</v>
      </c>
      <c r="F235" s="8">
        <v>1.1000000000000001</v>
      </c>
      <c r="G235" s="9">
        <v>1</v>
      </c>
      <c r="H235" s="9">
        <v>3</v>
      </c>
      <c r="I235" s="10">
        <v>1</v>
      </c>
      <c r="J235" s="11" t="s">
        <v>241</v>
      </c>
      <c r="K235" s="11" t="s">
        <v>241</v>
      </c>
      <c r="L235" s="11" t="s">
        <v>241</v>
      </c>
      <c r="M235" s="11">
        <v>1.2470000000000001</v>
      </c>
      <c r="N235" s="11">
        <v>0.18820000000000001</v>
      </c>
    </row>
    <row r="236" spans="2:14" ht="15" customHeight="1" x14ac:dyDescent="0.25">
      <c r="B236" s="6" t="s">
        <v>697</v>
      </c>
      <c r="C236" s="7" t="s">
        <v>698</v>
      </c>
      <c r="D236" s="6" t="s">
        <v>240</v>
      </c>
      <c r="E236" s="6" t="s">
        <v>240</v>
      </c>
      <c r="F236" s="8">
        <v>5.3</v>
      </c>
      <c r="G236" s="9">
        <v>1</v>
      </c>
      <c r="H236" s="9">
        <v>16</v>
      </c>
      <c r="I236" s="10">
        <v>1</v>
      </c>
      <c r="J236" s="11" t="s">
        <v>241</v>
      </c>
      <c r="K236" s="11" t="s">
        <v>241</v>
      </c>
      <c r="L236" s="11" t="s">
        <v>241</v>
      </c>
      <c r="M236" s="11">
        <v>2.6432000000000002</v>
      </c>
      <c r="N236" s="11">
        <v>0.30099999999999999</v>
      </c>
    </row>
    <row r="237" spans="2:14" ht="15" customHeight="1" x14ac:dyDescent="0.25">
      <c r="B237" s="6" t="s">
        <v>699</v>
      </c>
      <c r="C237" s="7" t="s">
        <v>700</v>
      </c>
      <c r="D237" s="6" t="s">
        <v>240</v>
      </c>
      <c r="E237" s="6" t="s">
        <v>240</v>
      </c>
      <c r="F237" s="8">
        <v>6.5</v>
      </c>
      <c r="G237" s="9">
        <v>2</v>
      </c>
      <c r="H237" s="9">
        <v>25</v>
      </c>
      <c r="I237" s="10">
        <v>0.92</v>
      </c>
      <c r="J237" s="11" t="s">
        <v>241</v>
      </c>
      <c r="K237" s="11">
        <v>1.8042</v>
      </c>
      <c r="L237" s="11">
        <v>2.0183</v>
      </c>
      <c r="M237" s="11">
        <v>5.8407</v>
      </c>
      <c r="N237" s="11">
        <v>0.26640000000000003</v>
      </c>
    </row>
    <row r="238" spans="2:14" ht="15" customHeight="1" x14ac:dyDescent="0.25">
      <c r="B238" s="6" t="s">
        <v>701</v>
      </c>
      <c r="C238" s="7" t="s">
        <v>702</v>
      </c>
      <c r="D238" s="6" t="s">
        <v>240</v>
      </c>
      <c r="E238" s="6" t="s">
        <v>240</v>
      </c>
      <c r="F238" s="8">
        <v>1.4</v>
      </c>
      <c r="G238" s="9">
        <v>1</v>
      </c>
      <c r="H238" s="9">
        <v>5</v>
      </c>
      <c r="I238" s="10">
        <v>1.28</v>
      </c>
      <c r="J238" s="11" t="s">
        <v>241</v>
      </c>
      <c r="K238" s="11" t="s">
        <v>241</v>
      </c>
      <c r="L238" s="11" t="s">
        <v>241</v>
      </c>
      <c r="M238" s="11">
        <v>2.218</v>
      </c>
      <c r="N238" s="11">
        <v>0.30170000000000002</v>
      </c>
    </row>
    <row r="239" spans="2:14" ht="15" customHeight="1" x14ac:dyDescent="0.25">
      <c r="B239" s="6" t="s">
        <v>703</v>
      </c>
      <c r="C239" s="7" t="s">
        <v>704</v>
      </c>
      <c r="D239" s="6" t="s">
        <v>240</v>
      </c>
      <c r="E239" s="6" t="s">
        <v>240</v>
      </c>
      <c r="F239" s="8">
        <v>1.2</v>
      </c>
      <c r="G239" s="9">
        <v>1</v>
      </c>
      <c r="H239" s="9">
        <v>4</v>
      </c>
      <c r="I239" s="10">
        <v>1.1200000000000001</v>
      </c>
      <c r="J239" s="11" t="s">
        <v>241</v>
      </c>
      <c r="K239" s="11" t="s">
        <v>241</v>
      </c>
      <c r="L239" s="11" t="s">
        <v>241</v>
      </c>
      <c r="M239" s="11">
        <v>0.90669999999999995</v>
      </c>
      <c r="N239" s="11">
        <v>0.36699999999999999</v>
      </c>
    </row>
    <row r="240" spans="2:14" ht="15" customHeight="1" x14ac:dyDescent="0.25">
      <c r="B240" s="6" t="s">
        <v>705</v>
      </c>
      <c r="C240" s="7" t="s">
        <v>706</v>
      </c>
      <c r="D240" s="6" t="s">
        <v>240</v>
      </c>
      <c r="E240" s="6" t="s">
        <v>240</v>
      </c>
      <c r="F240" s="8">
        <v>19.5</v>
      </c>
      <c r="G240" s="9">
        <v>6</v>
      </c>
      <c r="H240" s="9">
        <v>61</v>
      </c>
      <c r="I240" s="10">
        <v>1</v>
      </c>
      <c r="J240" s="11" t="s">
        <v>241</v>
      </c>
      <c r="K240" s="11">
        <v>0.62809999999999999</v>
      </c>
      <c r="L240" s="11">
        <v>0.91259999999999997</v>
      </c>
      <c r="M240" s="11">
        <v>6.1040000000000001</v>
      </c>
      <c r="N240" s="11">
        <v>0.22459999999999999</v>
      </c>
    </row>
    <row r="241" spans="2:14" ht="15" customHeight="1" x14ac:dyDescent="0.25">
      <c r="B241" s="6" t="s">
        <v>707</v>
      </c>
      <c r="C241" s="7" t="s">
        <v>708</v>
      </c>
      <c r="D241" s="6" t="s">
        <v>290</v>
      </c>
      <c r="E241" s="6" t="s">
        <v>240</v>
      </c>
      <c r="F241" s="8">
        <v>8.4</v>
      </c>
      <c r="G241" s="9">
        <v>2</v>
      </c>
      <c r="H241" s="9">
        <v>23</v>
      </c>
      <c r="I241" s="10">
        <v>1</v>
      </c>
      <c r="J241" s="11">
        <v>0.41889999999999999</v>
      </c>
      <c r="K241" s="11">
        <v>0.56489999999999996</v>
      </c>
      <c r="L241" s="11">
        <v>1.1168</v>
      </c>
      <c r="M241" s="11">
        <v>2.7986</v>
      </c>
      <c r="N241" s="11">
        <v>0.21629999999999999</v>
      </c>
    </row>
    <row r="242" spans="2:14" ht="15" customHeight="1" x14ac:dyDescent="0.25">
      <c r="B242" s="6" t="s">
        <v>709</v>
      </c>
      <c r="C242" s="7" t="s">
        <v>710</v>
      </c>
      <c r="D242" s="6" t="s">
        <v>290</v>
      </c>
      <c r="E242" s="6" t="s">
        <v>240</v>
      </c>
      <c r="F242" s="8">
        <v>3.3</v>
      </c>
      <c r="G242" s="9">
        <v>1</v>
      </c>
      <c r="H242" s="9">
        <v>11</v>
      </c>
      <c r="I242" s="10">
        <v>1.0900000000000001</v>
      </c>
      <c r="J242" s="11">
        <v>0.49280000000000002</v>
      </c>
      <c r="K242" s="11" t="s">
        <v>241</v>
      </c>
      <c r="L242" s="11" t="s">
        <v>241</v>
      </c>
      <c r="M242" s="11">
        <v>1.6882999999999999</v>
      </c>
      <c r="N242" s="11">
        <v>0.19839999999999999</v>
      </c>
    </row>
    <row r="243" spans="2:14" ht="15" customHeight="1" x14ac:dyDescent="0.25">
      <c r="B243" s="6" t="s">
        <v>711</v>
      </c>
      <c r="C243" s="7" t="s">
        <v>712</v>
      </c>
      <c r="D243" s="6" t="s">
        <v>240</v>
      </c>
      <c r="E243" s="6" t="s">
        <v>240</v>
      </c>
      <c r="F243" s="8">
        <v>29</v>
      </c>
      <c r="G243" s="9">
        <v>14</v>
      </c>
      <c r="H243" s="9">
        <v>132</v>
      </c>
      <c r="I243" s="10">
        <v>1</v>
      </c>
      <c r="J243" s="11" t="s">
        <v>241</v>
      </c>
      <c r="K243" s="11">
        <v>14.1904</v>
      </c>
      <c r="L243" s="11">
        <v>3.3172999999999999</v>
      </c>
      <c r="M243" s="11">
        <v>60.631900000000002</v>
      </c>
      <c r="N243" s="11">
        <v>0.90720000000000001</v>
      </c>
    </row>
    <row r="244" spans="2:14" ht="15" customHeight="1" x14ac:dyDescent="0.25">
      <c r="B244" s="6" t="s">
        <v>713</v>
      </c>
      <c r="C244" s="7" t="s">
        <v>714</v>
      </c>
      <c r="D244" s="6" t="s">
        <v>240</v>
      </c>
      <c r="E244" s="6" t="s">
        <v>240</v>
      </c>
      <c r="F244" s="8">
        <v>23.4</v>
      </c>
      <c r="G244" s="9">
        <v>13</v>
      </c>
      <c r="H244" s="9">
        <v>121</v>
      </c>
      <c r="I244" s="10">
        <v>1</v>
      </c>
      <c r="J244" s="11" t="s">
        <v>241</v>
      </c>
      <c r="K244" s="11">
        <v>3.6486000000000001</v>
      </c>
      <c r="L244" s="11">
        <v>1.9398</v>
      </c>
      <c r="M244" s="11">
        <v>28.8659</v>
      </c>
      <c r="N244" s="11">
        <v>0.61029999999999995</v>
      </c>
    </row>
    <row r="245" spans="2:14" ht="15" customHeight="1" x14ac:dyDescent="0.25">
      <c r="B245" s="6" t="s">
        <v>715</v>
      </c>
      <c r="C245" s="7" t="s">
        <v>716</v>
      </c>
      <c r="D245" s="6" t="s">
        <v>240</v>
      </c>
      <c r="E245" s="6" t="s">
        <v>240</v>
      </c>
      <c r="F245" s="8">
        <v>5.2</v>
      </c>
      <c r="G245" s="9">
        <v>1</v>
      </c>
      <c r="H245" s="9">
        <v>16</v>
      </c>
      <c r="I245" s="10">
        <v>1.1499999999999999</v>
      </c>
      <c r="J245" s="11" t="s">
        <v>241</v>
      </c>
      <c r="K245" s="11" t="s">
        <v>241</v>
      </c>
      <c r="L245" s="11" t="s">
        <v>241</v>
      </c>
      <c r="M245" s="11">
        <v>3.3418999999999999</v>
      </c>
      <c r="N245" s="11">
        <v>0.26079999999999998</v>
      </c>
    </row>
    <row r="246" spans="2:14" ht="15" customHeight="1" x14ac:dyDescent="0.25">
      <c r="B246" s="6" t="s">
        <v>717</v>
      </c>
      <c r="C246" s="7" t="s">
        <v>718</v>
      </c>
      <c r="D246" s="6" t="s">
        <v>240</v>
      </c>
      <c r="E246" s="6" t="s">
        <v>240</v>
      </c>
      <c r="F246" s="8">
        <v>1.5</v>
      </c>
      <c r="G246" s="9">
        <v>1</v>
      </c>
      <c r="H246" s="9">
        <v>4</v>
      </c>
      <c r="I246" s="10">
        <v>1.61</v>
      </c>
      <c r="J246" s="11" t="s">
        <v>241</v>
      </c>
      <c r="K246" s="11" t="s">
        <v>241</v>
      </c>
      <c r="L246" s="11" t="s">
        <v>241</v>
      </c>
      <c r="M246" s="11">
        <v>1.7007000000000001</v>
      </c>
      <c r="N246" s="11">
        <v>0.29670000000000002</v>
      </c>
    </row>
    <row r="247" spans="2:14" ht="15" customHeight="1" x14ac:dyDescent="0.25">
      <c r="B247" s="6" t="s">
        <v>719</v>
      </c>
      <c r="C247" s="7" t="s">
        <v>720</v>
      </c>
      <c r="D247" s="6" t="s">
        <v>240</v>
      </c>
      <c r="E247" s="6" t="s">
        <v>240</v>
      </c>
      <c r="F247" s="8">
        <v>11.2</v>
      </c>
      <c r="G247" s="9">
        <v>3</v>
      </c>
      <c r="H247" s="9">
        <v>32</v>
      </c>
      <c r="I247" s="10">
        <v>1</v>
      </c>
      <c r="J247" s="11" t="s">
        <v>241</v>
      </c>
      <c r="K247" s="11">
        <v>5.4828999999999999</v>
      </c>
      <c r="L247" s="11">
        <v>1.3664000000000001</v>
      </c>
      <c r="M247" s="11">
        <v>9.5821000000000005</v>
      </c>
      <c r="N247" s="11">
        <v>0.309</v>
      </c>
    </row>
    <row r="248" spans="2:14" ht="15" customHeight="1" x14ac:dyDescent="0.25">
      <c r="B248" s="6" t="s">
        <v>721</v>
      </c>
      <c r="C248" s="7" t="s">
        <v>722</v>
      </c>
      <c r="D248" s="6" t="s">
        <v>240</v>
      </c>
      <c r="E248" s="6" t="s">
        <v>240</v>
      </c>
      <c r="F248" s="8">
        <v>2.8</v>
      </c>
      <c r="G248" s="9">
        <v>1</v>
      </c>
      <c r="H248" s="9">
        <v>9</v>
      </c>
      <c r="I248" s="10">
        <v>1</v>
      </c>
      <c r="J248" s="11" t="s">
        <v>241</v>
      </c>
      <c r="K248" s="11" t="s">
        <v>241</v>
      </c>
      <c r="L248" s="11" t="s">
        <v>241</v>
      </c>
      <c r="M248" s="11">
        <v>6.1124999999999998</v>
      </c>
      <c r="N248" s="11">
        <v>0.40799999999999997</v>
      </c>
    </row>
    <row r="249" spans="2:14" ht="15" customHeight="1" x14ac:dyDescent="0.25">
      <c r="B249" s="6" t="s">
        <v>723</v>
      </c>
      <c r="C249" s="7" t="s">
        <v>724</v>
      </c>
      <c r="D249" s="6" t="s">
        <v>240</v>
      </c>
      <c r="E249" s="6" t="s">
        <v>240</v>
      </c>
      <c r="F249" s="8">
        <v>9</v>
      </c>
      <c r="G249" s="9">
        <v>3</v>
      </c>
      <c r="H249" s="9">
        <v>28</v>
      </c>
      <c r="I249" s="10">
        <v>1</v>
      </c>
      <c r="J249" s="11" t="s">
        <v>241</v>
      </c>
      <c r="K249" s="11">
        <v>0.20349999999999999</v>
      </c>
      <c r="L249" s="11">
        <v>1.8878999999999999</v>
      </c>
      <c r="M249" s="11">
        <v>5.8670999999999998</v>
      </c>
      <c r="N249" s="11">
        <v>0.29139999999999999</v>
      </c>
    </row>
    <row r="250" spans="2:14" ht="15" customHeight="1" x14ac:dyDescent="0.25">
      <c r="B250" s="6" t="s">
        <v>725</v>
      </c>
      <c r="C250" s="7" t="s">
        <v>726</v>
      </c>
      <c r="D250" s="6" t="s">
        <v>240</v>
      </c>
      <c r="E250" s="6" t="s">
        <v>240</v>
      </c>
      <c r="F250" s="8">
        <v>3.2</v>
      </c>
      <c r="G250" s="9">
        <v>1</v>
      </c>
      <c r="H250" s="9">
        <v>9</v>
      </c>
      <c r="I250" s="10">
        <v>1</v>
      </c>
      <c r="J250" s="11" t="s">
        <v>241</v>
      </c>
      <c r="K250" s="11" t="s">
        <v>241</v>
      </c>
      <c r="L250" s="11" t="s">
        <v>241</v>
      </c>
      <c r="M250" s="11">
        <v>2.6749999999999998</v>
      </c>
      <c r="N250" s="11">
        <v>0.35749999999999998</v>
      </c>
    </row>
    <row r="251" spans="2:14" ht="15" customHeight="1" x14ac:dyDescent="0.25">
      <c r="B251" s="6" t="s">
        <v>727</v>
      </c>
      <c r="C251" s="7" t="s">
        <v>728</v>
      </c>
      <c r="D251" s="6" t="s">
        <v>240</v>
      </c>
      <c r="E251" s="6" t="s">
        <v>240</v>
      </c>
      <c r="F251" s="8">
        <v>7.6</v>
      </c>
      <c r="G251" s="9">
        <v>2</v>
      </c>
      <c r="H251" s="9">
        <v>21</v>
      </c>
      <c r="I251" s="10">
        <v>1</v>
      </c>
      <c r="J251" s="11" t="s">
        <v>241</v>
      </c>
      <c r="K251" s="11">
        <v>0.4355</v>
      </c>
      <c r="L251" s="11">
        <v>1.2594000000000001</v>
      </c>
      <c r="M251" s="11">
        <v>2.9544000000000001</v>
      </c>
      <c r="N251" s="11">
        <v>0.25009999999999999</v>
      </c>
    </row>
    <row r="252" spans="2:14" ht="15" customHeight="1" x14ac:dyDescent="0.25">
      <c r="B252" s="6" t="s">
        <v>729</v>
      </c>
      <c r="C252" s="7" t="s">
        <v>730</v>
      </c>
      <c r="D252" s="6" t="s">
        <v>290</v>
      </c>
      <c r="E252" s="6" t="s">
        <v>240</v>
      </c>
      <c r="F252" s="8">
        <v>3.5</v>
      </c>
      <c r="G252" s="9">
        <v>1</v>
      </c>
      <c r="H252" s="9">
        <v>11</v>
      </c>
      <c r="I252" s="10">
        <v>1</v>
      </c>
      <c r="J252" s="11">
        <v>0.74639999999999995</v>
      </c>
      <c r="K252" s="11" t="s">
        <v>241</v>
      </c>
      <c r="L252" s="11" t="s">
        <v>241</v>
      </c>
      <c r="M252" s="11">
        <v>1.6606000000000001</v>
      </c>
      <c r="N252" s="11">
        <v>0.26400000000000001</v>
      </c>
    </row>
    <row r="253" spans="2:14" ht="15" customHeight="1" x14ac:dyDescent="0.25">
      <c r="B253" s="6" t="s">
        <v>731</v>
      </c>
      <c r="C253" s="7" t="s">
        <v>732</v>
      </c>
      <c r="D253" s="6" t="s">
        <v>240</v>
      </c>
      <c r="E253" s="6" t="s">
        <v>240</v>
      </c>
      <c r="F253" s="8">
        <v>6.4</v>
      </c>
      <c r="G253" s="9">
        <v>1</v>
      </c>
      <c r="H253" s="9">
        <v>18</v>
      </c>
      <c r="I253" s="10">
        <v>1.17</v>
      </c>
      <c r="J253" s="11" t="s">
        <v>241</v>
      </c>
      <c r="K253" s="11" t="s">
        <v>241</v>
      </c>
      <c r="L253" s="11" t="s">
        <v>241</v>
      </c>
      <c r="M253" s="11">
        <v>2.2799999999999998</v>
      </c>
      <c r="N253" s="11">
        <v>0.25900000000000001</v>
      </c>
    </row>
    <row r="254" spans="2:14" ht="15" customHeight="1" x14ac:dyDescent="0.25">
      <c r="B254" s="6" t="s">
        <v>733</v>
      </c>
      <c r="C254" s="7" t="s">
        <v>734</v>
      </c>
      <c r="D254" s="6" t="s">
        <v>290</v>
      </c>
      <c r="E254" s="6" t="s">
        <v>240</v>
      </c>
      <c r="F254" s="8">
        <v>2.9</v>
      </c>
      <c r="G254" s="9">
        <v>1</v>
      </c>
      <c r="H254" s="9">
        <v>8</v>
      </c>
      <c r="I254" s="10">
        <v>2</v>
      </c>
      <c r="J254" s="11">
        <v>0.63270000000000004</v>
      </c>
      <c r="K254" s="11" t="s">
        <v>241</v>
      </c>
      <c r="L254" s="11" t="s">
        <v>241</v>
      </c>
      <c r="M254" s="11">
        <v>1.2968</v>
      </c>
      <c r="N254" s="11">
        <v>0.2339</v>
      </c>
    </row>
    <row r="255" spans="2:14" ht="15" customHeight="1" x14ac:dyDescent="0.25">
      <c r="B255" s="6" t="s">
        <v>735</v>
      </c>
      <c r="C255" s="7" t="s">
        <v>736</v>
      </c>
      <c r="D255" s="6" t="s">
        <v>240</v>
      </c>
      <c r="E255" s="6" t="s">
        <v>240</v>
      </c>
      <c r="F255" s="8">
        <v>13.6</v>
      </c>
      <c r="G255" s="9">
        <v>4</v>
      </c>
      <c r="H255" s="9">
        <v>39</v>
      </c>
      <c r="I255" s="10">
        <v>1.65</v>
      </c>
      <c r="J255" s="11" t="s">
        <v>241</v>
      </c>
      <c r="K255" s="11">
        <v>8.0299999999999996E-2</v>
      </c>
      <c r="L255" s="11">
        <v>1.2534000000000001</v>
      </c>
      <c r="M255" s="11">
        <v>5.0940000000000003</v>
      </c>
      <c r="N255" s="11">
        <v>0.25080000000000002</v>
      </c>
    </row>
    <row r="256" spans="2:14" ht="15" customHeight="1" x14ac:dyDescent="0.25">
      <c r="B256" s="6" t="s">
        <v>737</v>
      </c>
      <c r="C256" s="7" t="s">
        <v>738</v>
      </c>
      <c r="D256" s="6" t="s">
        <v>240</v>
      </c>
      <c r="E256" s="6" t="s">
        <v>240</v>
      </c>
      <c r="F256" s="8">
        <v>7.8</v>
      </c>
      <c r="G256" s="9">
        <v>2</v>
      </c>
      <c r="H256" s="9">
        <v>22</v>
      </c>
      <c r="I256" s="10">
        <v>1</v>
      </c>
      <c r="J256" s="11" t="s">
        <v>241</v>
      </c>
      <c r="K256" s="11">
        <v>4.0500000000000001E-2</v>
      </c>
      <c r="L256" s="11">
        <v>1.2950999999999999</v>
      </c>
      <c r="M256" s="11">
        <v>2.6307</v>
      </c>
      <c r="N256" s="11">
        <v>0.25490000000000002</v>
      </c>
    </row>
    <row r="257" spans="2:14" ht="15" customHeight="1" x14ac:dyDescent="0.25">
      <c r="B257" s="6" t="s">
        <v>739</v>
      </c>
      <c r="C257" s="7" t="s">
        <v>740</v>
      </c>
      <c r="D257" s="6" t="s">
        <v>240</v>
      </c>
      <c r="E257" s="6" t="s">
        <v>240</v>
      </c>
      <c r="F257" s="8">
        <v>4.5999999999999996</v>
      </c>
      <c r="G257" s="9">
        <v>1</v>
      </c>
      <c r="H257" s="9">
        <v>14</v>
      </c>
      <c r="I257" s="10">
        <v>1</v>
      </c>
      <c r="J257" s="11" t="s">
        <v>241</v>
      </c>
      <c r="K257" s="11" t="s">
        <v>241</v>
      </c>
      <c r="L257" s="11" t="s">
        <v>241</v>
      </c>
      <c r="M257" s="11">
        <v>1.3075000000000001</v>
      </c>
      <c r="N257" s="11">
        <v>0.26250000000000001</v>
      </c>
    </row>
    <row r="258" spans="2:14" ht="15" customHeight="1" x14ac:dyDescent="0.25">
      <c r="B258" s="6" t="s">
        <v>741</v>
      </c>
      <c r="C258" s="7" t="s">
        <v>742</v>
      </c>
      <c r="D258" s="6" t="s">
        <v>240</v>
      </c>
      <c r="E258" s="6" t="s">
        <v>240</v>
      </c>
      <c r="F258" s="8">
        <v>1.6</v>
      </c>
      <c r="G258" s="9">
        <v>1</v>
      </c>
      <c r="H258" s="9">
        <v>4</v>
      </c>
      <c r="I258" s="10">
        <v>1</v>
      </c>
      <c r="J258" s="11" t="s">
        <v>241</v>
      </c>
      <c r="K258" s="11" t="s">
        <v>241</v>
      </c>
      <c r="L258" s="11" t="s">
        <v>241</v>
      </c>
      <c r="M258" s="11">
        <v>0.57469999999999999</v>
      </c>
      <c r="N258" s="11" t="s">
        <v>241</v>
      </c>
    </row>
    <row r="259" spans="2:14" ht="15" customHeight="1" x14ac:dyDescent="0.25">
      <c r="B259" s="6" t="s">
        <v>743</v>
      </c>
      <c r="C259" s="7" t="s">
        <v>744</v>
      </c>
      <c r="D259" s="6" t="s">
        <v>240</v>
      </c>
      <c r="E259" s="6" t="s">
        <v>240</v>
      </c>
      <c r="F259" s="8">
        <v>20.399999999999999</v>
      </c>
      <c r="G259" s="9">
        <v>12</v>
      </c>
      <c r="H259" s="9">
        <v>29</v>
      </c>
      <c r="I259" s="10">
        <v>1</v>
      </c>
      <c r="J259" s="11" t="s">
        <v>241</v>
      </c>
      <c r="K259" s="11">
        <v>7.6600000000000001E-2</v>
      </c>
      <c r="L259" s="11">
        <v>0.47</v>
      </c>
      <c r="M259" s="11">
        <v>5.7165999999999997</v>
      </c>
      <c r="N259" s="11">
        <v>0.1938</v>
      </c>
    </row>
    <row r="260" spans="2:14" ht="15" customHeight="1" x14ac:dyDescent="0.25">
      <c r="B260" s="6" t="s">
        <v>745</v>
      </c>
      <c r="C260" s="7" t="s">
        <v>746</v>
      </c>
      <c r="D260" s="6" t="s">
        <v>240</v>
      </c>
      <c r="E260" s="6" t="s">
        <v>240</v>
      </c>
      <c r="F260" s="8">
        <v>9.9</v>
      </c>
      <c r="G260" s="9">
        <v>3</v>
      </c>
      <c r="H260" s="9">
        <v>27</v>
      </c>
      <c r="I260" s="10">
        <v>1</v>
      </c>
      <c r="J260" s="11" t="s">
        <v>241</v>
      </c>
      <c r="K260" s="11">
        <v>8.0500000000000002E-2</v>
      </c>
      <c r="L260" s="11">
        <v>0.80049999999999999</v>
      </c>
      <c r="M260" s="11">
        <v>2.4820000000000002</v>
      </c>
      <c r="N260" s="11">
        <v>0.1394</v>
      </c>
    </row>
    <row r="261" spans="2:14" ht="15" customHeight="1" x14ac:dyDescent="0.25">
      <c r="B261" s="6" t="s">
        <v>747</v>
      </c>
      <c r="C261" s="7" t="s">
        <v>748</v>
      </c>
      <c r="D261" s="6" t="s">
        <v>240</v>
      </c>
      <c r="E261" s="6" t="s">
        <v>240</v>
      </c>
      <c r="F261" s="8">
        <v>9.4</v>
      </c>
      <c r="G261" s="9">
        <v>3</v>
      </c>
      <c r="H261" s="9">
        <v>28</v>
      </c>
      <c r="I261" s="10">
        <v>1</v>
      </c>
      <c r="J261" s="11" t="s">
        <v>241</v>
      </c>
      <c r="K261" s="11">
        <v>0</v>
      </c>
      <c r="L261" s="11">
        <v>0.87790000000000001</v>
      </c>
      <c r="M261" s="11">
        <v>2.6337000000000002</v>
      </c>
      <c r="N261" s="11">
        <v>0.2349</v>
      </c>
    </row>
    <row r="262" spans="2:14" ht="15" customHeight="1" x14ac:dyDescent="0.25">
      <c r="B262" s="6" t="s">
        <v>749</v>
      </c>
      <c r="C262" s="7" t="s">
        <v>750</v>
      </c>
      <c r="D262" s="6" t="s">
        <v>240</v>
      </c>
      <c r="E262" s="6" t="s">
        <v>240</v>
      </c>
      <c r="F262" s="8">
        <v>4</v>
      </c>
      <c r="G262" s="9">
        <v>1</v>
      </c>
      <c r="H262" s="9">
        <v>11</v>
      </c>
      <c r="I262" s="10">
        <v>1</v>
      </c>
      <c r="J262" s="11" t="s">
        <v>241</v>
      </c>
      <c r="K262" s="11" t="s">
        <v>241</v>
      </c>
      <c r="L262" s="11" t="s">
        <v>241</v>
      </c>
      <c r="M262" s="11">
        <v>0.95950000000000002</v>
      </c>
      <c r="N262" s="11">
        <v>0.215</v>
      </c>
    </row>
    <row r="263" spans="2:14" ht="15" customHeight="1" x14ac:dyDescent="0.25">
      <c r="B263" s="6" t="s">
        <v>751</v>
      </c>
      <c r="C263" s="7" t="s">
        <v>752</v>
      </c>
      <c r="D263" s="6" t="s">
        <v>240</v>
      </c>
      <c r="E263" s="6" t="s">
        <v>240</v>
      </c>
      <c r="F263" s="8">
        <v>1.6</v>
      </c>
      <c r="G263" s="9">
        <v>1</v>
      </c>
      <c r="H263" s="9">
        <v>4</v>
      </c>
      <c r="I263" s="10">
        <v>1</v>
      </c>
      <c r="J263" s="11" t="s">
        <v>241</v>
      </c>
      <c r="K263" s="11" t="s">
        <v>241</v>
      </c>
      <c r="L263" s="11" t="s">
        <v>241</v>
      </c>
      <c r="M263" s="11">
        <v>0.51729999999999998</v>
      </c>
      <c r="N263" s="11" t="s">
        <v>241</v>
      </c>
    </row>
    <row r="264" spans="2:14" ht="15" customHeight="1" x14ac:dyDescent="0.25">
      <c r="B264" s="6" t="s">
        <v>753</v>
      </c>
      <c r="C264" s="7" t="s">
        <v>754</v>
      </c>
      <c r="D264" s="6" t="s">
        <v>290</v>
      </c>
      <c r="E264" s="6" t="s">
        <v>240</v>
      </c>
      <c r="F264" s="8">
        <v>5.3</v>
      </c>
      <c r="G264" s="9">
        <v>1</v>
      </c>
      <c r="H264" s="9">
        <v>15</v>
      </c>
      <c r="I264" s="10">
        <v>1</v>
      </c>
      <c r="J264" s="11">
        <v>0.18740000000000001</v>
      </c>
      <c r="K264" s="11" t="s">
        <v>241</v>
      </c>
      <c r="L264" s="11" t="s">
        <v>241</v>
      </c>
      <c r="M264" s="11">
        <v>1.2974000000000001</v>
      </c>
      <c r="N264" s="11">
        <v>0.22009999999999999</v>
      </c>
    </row>
    <row r="265" spans="2:14" ht="15" customHeight="1" x14ac:dyDescent="0.25">
      <c r="B265" s="6" t="s">
        <v>755</v>
      </c>
      <c r="C265" s="7" t="s">
        <v>756</v>
      </c>
      <c r="D265" s="6" t="s">
        <v>290</v>
      </c>
      <c r="E265" s="6" t="s">
        <v>240</v>
      </c>
      <c r="F265" s="8">
        <v>2.2999999999999998</v>
      </c>
      <c r="G265" s="9">
        <v>1</v>
      </c>
      <c r="H265" s="9">
        <v>8</v>
      </c>
      <c r="I265" s="10">
        <v>1</v>
      </c>
      <c r="J265" s="11">
        <v>0.1386</v>
      </c>
      <c r="K265" s="11" t="s">
        <v>241</v>
      </c>
      <c r="L265" s="11" t="s">
        <v>241</v>
      </c>
      <c r="M265" s="11">
        <v>0.52329999999999999</v>
      </c>
      <c r="N265" s="11">
        <v>0.19059999999999999</v>
      </c>
    </row>
    <row r="266" spans="2:14" ht="15" customHeight="1" x14ac:dyDescent="0.25">
      <c r="B266" s="6" t="s">
        <v>757</v>
      </c>
      <c r="C266" s="7" t="s">
        <v>758</v>
      </c>
      <c r="D266" s="6" t="s">
        <v>240</v>
      </c>
      <c r="E266" s="6" t="s">
        <v>240</v>
      </c>
      <c r="F266" s="8">
        <v>11.1</v>
      </c>
      <c r="G266" s="9">
        <v>3</v>
      </c>
      <c r="H266" s="9">
        <v>33</v>
      </c>
      <c r="I266" s="10">
        <v>1</v>
      </c>
      <c r="J266" s="11" t="s">
        <v>241</v>
      </c>
      <c r="K266" s="11">
        <v>0</v>
      </c>
      <c r="L266" s="11">
        <v>0.96220000000000006</v>
      </c>
      <c r="M266" s="11">
        <v>2.8864999999999998</v>
      </c>
      <c r="N266" s="11">
        <v>0.22739999999999999</v>
      </c>
    </row>
    <row r="267" spans="2:14" ht="15" customHeight="1" x14ac:dyDescent="0.25">
      <c r="B267" s="6" t="s">
        <v>759</v>
      </c>
      <c r="C267" s="7" t="s">
        <v>760</v>
      </c>
      <c r="D267" s="6" t="s">
        <v>290</v>
      </c>
      <c r="E267" s="6" t="s">
        <v>240</v>
      </c>
      <c r="F267" s="8">
        <v>6.1</v>
      </c>
      <c r="G267" s="9">
        <v>1</v>
      </c>
      <c r="H267" s="9">
        <v>18</v>
      </c>
      <c r="I267" s="10">
        <v>1</v>
      </c>
      <c r="J267" s="11">
        <v>0.17399999999999999</v>
      </c>
      <c r="K267" s="11" t="s">
        <v>241</v>
      </c>
      <c r="L267" s="11" t="s">
        <v>241</v>
      </c>
      <c r="M267" s="11">
        <v>1.4461999999999999</v>
      </c>
      <c r="N267" s="11">
        <v>0.19550000000000001</v>
      </c>
    </row>
    <row r="268" spans="2:14" ht="15" customHeight="1" x14ac:dyDescent="0.25">
      <c r="B268" s="6" t="s">
        <v>761</v>
      </c>
      <c r="C268" s="7" t="s">
        <v>762</v>
      </c>
      <c r="D268" s="6" t="s">
        <v>290</v>
      </c>
      <c r="E268" s="6" t="s">
        <v>240</v>
      </c>
      <c r="F268" s="8">
        <v>4.0999999999999996</v>
      </c>
      <c r="G268" s="9">
        <v>1</v>
      </c>
      <c r="H268" s="9">
        <v>13</v>
      </c>
      <c r="I268" s="10">
        <v>1</v>
      </c>
      <c r="J268" s="11">
        <v>0.15740000000000001</v>
      </c>
      <c r="K268" s="11" t="s">
        <v>241</v>
      </c>
      <c r="L268" s="11" t="s">
        <v>241</v>
      </c>
      <c r="M268" s="11">
        <v>0.84830000000000005</v>
      </c>
      <c r="N268" s="11">
        <v>0.1434</v>
      </c>
    </row>
    <row r="269" spans="2:14" ht="15" customHeight="1" x14ac:dyDescent="0.25">
      <c r="B269" s="6" t="s">
        <v>763</v>
      </c>
      <c r="C269" s="7" t="s">
        <v>764</v>
      </c>
      <c r="D269" s="6" t="s">
        <v>240</v>
      </c>
      <c r="E269" s="6" t="s">
        <v>240</v>
      </c>
      <c r="F269" s="8">
        <v>6.3</v>
      </c>
      <c r="G269" s="9">
        <v>2</v>
      </c>
      <c r="H269" s="9">
        <v>20</v>
      </c>
      <c r="I269" s="10">
        <v>1.07</v>
      </c>
      <c r="J269" s="11" t="s">
        <v>241</v>
      </c>
      <c r="K269" s="11">
        <v>9.9000000000000005E-2</v>
      </c>
      <c r="L269" s="11">
        <v>0.95689999999999997</v>
      </c>
      <c r="M269" s="11">
        <v>2.0127000000000002</v>
      </c>
      <c r="N269" s="11">
        <v>0.2273</v>
      </c>
    </row>
    <row r="270" spans="2:14" ht="15" customHeight="1" x14ac:dyDescent="0.25">
      <c r="B270" s="6" t="s">
        <v>765</v>
      </c>
      <c r="C270" s="7" t="s">
        <v>766</v>
      </c>
      <c r="D270" s="6" t="s">
        <v>290</v>
      </c>
      <c r="E270" s="6" t="s">
        <v>240</v>
      </c>
      <c r="F270" s="8">
        <v>3</v>
      </c>
      <c r="G270" s="9">
        <v>1</v>
      </c>
      <c r="H270" s="9">
        <v>9</v>
      </c>
      <c r="I270" s="10">
        <v>2</v>
      </c>
      <c r="J270" s="11">
        <v>0.30609999999999998</v>
      </c>
      <c r="K270" s="11" t="s">
        <v>241</v>
      </c>
      <c r="L270" s="11" t="s">
        <v>241</v>
      </c>
      <c r="M270" s="11">
        <v>0.85360000000000003</v>
      </c>
      <c r="N270" s="11">
        <v>0.18970000000000001</v>
      </c>
    </row>
    <row r="271" spans="2:14" ht="15" customHeight="1" x14ac:dyDescent="0.25">
      <c r="B271" s="6" t="s">
        <v>767</v>
      </c>
      <c r="C271" s="7" t="s">
        <v>768</v>
      </c>
      <c r="D271" s="6" t="s">
        <v>240</v>
      </c>
      <c r="E271" s="6" t="s">
        <v>240</v>
      </c>
      <c r="F271" s="8">
        <v>4.3</v>
      </c>
      <c r="G271" s="9">
        <v>1</v>
      </c>
      <c r="H271" s="9">
        <v>12</v>
      </c>
      <c r="I271" s="10">
        <v>1</v>
      </c>
      <c r="J271" s="11" t="s">
        <v>241</v>
      </c>
      <c r="K271" s="11" t="s">
        <v>241</v>
      </c>
      <c r="L271" s="11" t="s">
        <v>241</v>
      </c>
      <c r="M271" s="11">
        <v>1.2119</v>
      </c>
      <c r="N271" s="11">
        <v>0.27710000000000001</v>
      </c>
    </row>
    <row r="272" spans="2:14" ht="15" customHeight="1" x14ac:dyDescent="0.25">
      <c r="B272" s="6" t="s">
        <v>769</v>
      </c>
      <c r="C272" s="7" t="s">
        <v>770</v>
      </c>
      <c r="D272" s="6" t="s">
        <v>240</v>
      </c>
      <c r="E272" s="6" t="s">
        <v>240</v>
      </c>
      <c r="F272" s="8">
        <v>1.4</v>
      </c>
      <c r="G272" s="9">
        <v>1</v>
      </c>
      <c r="H272" s="9">
        <v>4</v>
      </c>
      <c r="I272" s="10">
        <v>1</v>
      </c>
      <c r="J272" s="11" t="s">
        <v>241</v>
      </c>
      <c r="K272" s="11" t="s">
        <v>241</v>
      </c>
      <c r="L272" s="11" t="s">
        <v>241</v>
      </c>
      <c r="M272" s="11">
        <v>0.3085</v>
      </c>
      <c r="N272" s="11">
        <v>0.2286</v>
      </c>
    </row>
    <row r="273" spans="2:14" ht="15" customHeight="1" x14ac:dyDescent="0.25">
      <c r="B273" s="6" t="s">
        <v>771</v>
      </c>
      <c r="C273" s="7" t="s">
        <v>772</v>
      </c>
      <c r="D273" s="6" t="s">
        <v>290</v>
      </c>
      <c r="E273" s="6" t="s">
        <v>240</v>
      </c>
      <c r="F273" s="8">
        <v>4.5</v>
      </c>
      <c r="G273" s="9">
        <v>1</v>
      </c>
      <c r="H273" s="9">
        <v>13</v>
      </c>
      <c r="I273" s="10">
        <v>1.81</v>
      </c>
      <c r="J273" s="11">
        <v>0.15690000000000001</v>
      </c>
      <c r="K273" s="11" t="s">
        <v>241</v>
      </c>
      <c r="L273" s="11" t="s">
        <v>241</v>
      </c>
      <c r="M273" s="11">
        <v>1.1705000000000001</v>
      </c>
      <c r="N273" s="11">
        <v>0.23580000000000001</v>
      </c>
    </row>
    <row r="274" spans="2:14" ht="15" customHeight="1" x14ac:dyDescent="0.25">
      <c r="B274" s="6" t="s">
        <v>773</v>
      </c>
      <c r="C274" s="7" t="s">
        <v>774</v>
      </c>
      <c r="D274" s="6" t="s">
        <v>240</v>
      </c>
      <c r="E274" s="6" t="s">
        <v>240</v>
      </c>
      <c r="F274" s="8">
        <v>1.3</v>
      </c>
      <c r="G274" s="9">
        <v>1</v>
      </c>
      <c r="H274" s="9">
        <v>4</v>
      </c>
      <c r="I274" s="10">
        <v>1.61</v>
      </c>
      <c r="J274" s="11" t="s">
        <v>241</v>
      </c>
      <c r="K274" s="11" t="s">
        <v>241</v>
      </c>
      <c r="L274" s="11" t="s">
        <v>241</v>
      </c>
      <c r="M274" s="11">
        <v>0.2482</v>
      </c>
      <c r="N274" s="11">
        <v>0.18179999999999999</v>
      </c>
    </row>
    <row r="275" spans="2:14" ht="15" customHeight="1" x14ac:dyDescent="0.25">
      <c r="B275" s="6" t="s">
        <v>775</v>
      </c>
      <c r="C275" s="7" t="s">
        <v>776</v>
      </c>
      <c r="D275" s="6" t="s">
        <v>240</v>
      </c>
      <c r="E275" s="6" t="s">
        <v>240</v>
      </c>
      <c r="F275" s="8">
        <v>1.7</v>
      </c>
      <c r="G275" s="9">
        <v>1</v>
      </c>
      <c r="H275" s="9">
        <v>5</v>
      </c>
      <c r="I275" s="10">
        <v>1.77</v>
      </c>
      <c r="J275" s="11" t="s">
        <v>241</v>
      </c>
      <c r="K275" s="11" t="s">
        <v>241</v>
      </c>
      <c r="L275" s="11" t="s">
        <v>241</v>
      </c>
      <c r="M275" s="11">
        <v>0.52359999999999995</v>
      </c>
      <c r="N275" s="11">
        <v>0.222</v>
      </c>
    </row>
    <row r="276" spans="2:14" ht="15" customHeight="1" x14ac:dyDescent="0.25">
      <c r="B276" s="6" t="s">
        <v>777</v>
      </c>
      <c r="C276" s="7" t="s">
        <v>778</v>
      </c>
      <c r="D276" s="6" t="s">
        <v>290</v>
      </c>
      <c r="E276" s="6" t="s">
        <v>240</v>
      </c>
      <c r="F276" s="8">
        <v>5.3</v>
      </c>
      <c r="G276" s="9">
        <v>1</v>
      </c>
      <c r="H276" s="9">
        <v>16</v>
      </c>
      <c r="I276" s="10">
        <v>2</v>
      </c>
      <c r="J276" s="11">
        <v>0.31240000000000001</v>
      </c>
      <c r="K276" s="11" t="s">
        <v>241</v>
      </c>
      <c r="L276" s="11" t="s">
        <v>241</v>
      </c>
      <c r="M276" s="11">
        <v>1.4936</v>
      </c>
      <c r="N276" s="11">
        <v>0.2462</v>
      </c>
    </row>
    <row r="277" spans="2:14" ht="15" customHeight="1" x14ac:dyDescent="0.25">
      <c r="B277" s="6" t="s">
        <v>779</v>
      </c>
      <c r="C277" s="7" t="s">
        <v>780</v>
      </c>
      <c r="D277" s="6" t="s">
        <v>240</v>
      </c>
      <c r="E277" s="6" t="s">
        <v>240</v>
      </c>
      <c r="F277" s="8">
        <v>1.1000000000000001</v>
      </c>
      <c r="G277" s="9">
        <v>1</v>
      </c>
      <c r="H277" s="9">
        <v>3</v>
      </c>
      <c r="I277" s="10">
        <v>1.77</v>
      </c>
      <c r="J277" s="11" t="s">
        <v>241</v>
      </c>
      <c r="K277" s="11" t="s">
        <v>241</v>
      </c>
      <c r="L277" s="11" t="s">
        <v>241</v>
      </c>
      <c r="M277" s="11">
        <v>0.1767</v>
      </c>
      <c r="N277" s="11">
        <v>0.13300000000000001</v>
      </c>
    </row>
    <row r="278" spans="2:14" ht="15" customHeight="1" x14ac:dyDescent="0.25">
      <c r="B278" s="6" t="s">
        <v>781</v>
      </c>
      <c r="C278" s="7" t="s">
        <v>782</v>
      </c>
      <c r="D278" s="6" t="s">
        <v>240</v>
      </c>
      <c r="E278" s="6" t="s">
        <v>240</v>
      </c>
      <c r="F278" s="8">
        <v>3.8</v>
      </c>
      <c r="G278" s="9">
        <v>1</v>
      </c>
      <c r="H278" s="9">
        <v>11</v>
      </c>
      <c r="I278" s="10">
        <v>1</v>
      </c>
      <c r="J278" s="11" t="s">
        <v>241</v>
      </c>
      <c r="K278" s="11" t="s">
        <v>241</v>
      </c>
      <c r="L278" s="11" t="s">
        <v>241</v>
      </c>
      <c r="M278" s="11">
        <v>1.0814999999999999</v>
      </c>
      <c r="N278" s="11">
        <v>0.26029999999999998</v>
      </c>
    </row>
    <row r="279" spans="2:14" ht="15" customHeight="1" x14ac:dyDescent="0.25">
      <c r="B279" s="6" t="s">
        <v>783</v>
      </c>
      <c r="C279" s="7" t="s">
        <v>784</v>
      </c>
      <c r="D279" s="6" t="s">
        <v>240</v>
      </c>
      <c r="E279" s="6" t="s">
        <v>240</v>
      </c>
      <c r="F279" s="8">
        <v>1.6</v>
      </c>
      <c r="G279" s="9">
        <v>1</v>
      </c>
      <c r="H279" s="9">
        <v>5</v>
      </c>
      <c r="I279" s="10">
        <v>1</v>
      </c>
      <c r="J279" s="11" t="s">
        <v>241</v>
      </c>
      <c r="K279" s="11" t="s">
        <v>241</v>
      </c>
      <c r="L279" s="11" t="s">
        <v>241</v>
      </c>
      <c r="M279" s="11">
        <v>0.40989999999999999</v>
      </c>
      <c r="N279" s="11">
        <v>0.28029999999999999</v>
      </c>
    </row>
    <row r="280" spans="2:14" ht="15" customHeight="1" x14ac:dyDescent="0.25">
      <c r="B280" s="6" t="s">
        <v>785</v>
      </c>
      <c r="C280" s="7" t="s">
        <v>786</v>
      </c>
      <c r="D280" s="6" t="s">
        <v>240</v>
      </c>
      <c r="E280" s="6" t="s">
        <v>240</v>
      </c>
      <c r="F280" s="8">
        <v>5.2</v>
      </c>
      <c r="G280" s="9">
        <v>1</v>
      </c>
      <c r="H280" s="9">
        <v>15</v>
      </c>
      <c r="I280" s="10">
        <v>1</v>
      </c>
      <c r="J280" s="11" t="s">
        <v>241</v>
      </c>
      <c r="K280" s="11" t="s">
        <v>241</v>
      </c>
      <c r="L280" s="11" t="s">
        <v>241</v>
      </c>
      <c r="M280" s="11">
        <v>1.2715000000000001</v>
      </c>
      <c r="N280" s="11">
        <v>0.2361</v>
      </c>
    </row>
    <row r="281" spans="2:14" ht="15" customHeight="1" x14ac:dyDescent="0.25">
      <c r="B281" s="6" t="s">
        <v>787</v>
      </c>
      <c r="C281" s="7" t="s">
        <v>788</v>
      </c>
      <c r="D281" s="6" t="s">
        <v>240</v>
      </c>
      <c r="E281" s="6" t="s">
        <v>240</v>
      </c>
      <c r="F281" s="8">
        <v>1.6</v>
      </c>
      <c r="G281" s="9">
        <v>1</v>
      </c>
      <c r="H281" s="9">
        <v>5</v>
      </c>
      <c r="I281" s="10">
        <v>0.94</v>
      </c>
      <c r="J281" s="11" t="s">
        <v>241</v>
      </c>
      <c r="K281" s="11" t="s">
        <v>241</v>
      </c>
      <c r="L281" s="11" t="s">
        <v>241</v>
      </c>
      <c r="M281" s="11">
        <v>0.34499999999999997</v>
      </c>
      <c r="N281" s="11">
        <v>0.24729999999999999</v>
      </c>
    </row>
    <row r="282" spans="2:14" ht="15" customHeight="1" x14ac:dyDescent="0.25">
      <c r="B282" s="6" t="s">
        <v>789</v>
      </c>
      <c r="C282" s="7" t="s">
        <v>790</v>
      </c>
      <c r="D282" s="6" t="s">
        <v>240</v>
      </c>
      <c r="E282" s="6" t="s">
        <v>240</v>
      </c>
      <c r="F282" s="8">
        <v>1.9</v>
      </c>
      <c r="G282" s="9">
        <v>1</v>
      </c>
      <c r="H282" s="9">
        <v>6</v>
      </c>
      <c r="I282" s="10">
        <v>1.79</v>
      </c>
      <c r="J282" s="11" t="s">
        <v>241</v>
      </c>
      <c r="K282" s="11" t="s">
        <v>241</v>
      </c>
      <c r="L282" s="11" t="s">
        <v>241</v>
      </c>
      <c r="M282" s="11">
        <v>0.41870000000000002</v>
      </c>
      <c r="N282" s="11">
        <v>0.253</v>
      </c>
    </row>
    <row r="283" spans="2:14" ht="15" customHeight="1" x14ac:dyDescent="0.25">
      <c r="B283" s="6" t="s">
        <v>791</v>
      </c>
      <c r="C283" s="7" t="s">
        <v>792</v>
      </c>
      <c r="D283" s="6" t="s">
        <v>240</v>
      </c>
      <c r="E283" s="6" t="s">
        <v>240</v>
      </c>
      <c r="F283" s="8">
        <v>1.1000000000000001</v>
      </c>
      <c r="G283" s="9">
        <v>1</v>
      </c>
      <c r="H283" s="9">
        <v>3</v>
      </c>
      <c r="I283" s="10">
        <v>1.45</v>
      </c>
      <c r="J283" s="11" t="s">
        <v>241</v>
      </c>
      <c r="K283" s="11" t="s">
        <v>241</v>
      </c>
      <c r="L283" s="11" t="s">
        <v>241</v>
      </c>
      <c r="M283" s="11">
        <v>0.1386</v>
      </c>
      <c r="N283" s="11">
        <v>0.1041</v>
      </c>
    </row>
    <row r="284" spans="2:14" ht="15" customHeight="1" x14ac:dyDescent="0.25">
      <c r="B284" s="6" t="s">
        <v>793</v>
      </c>
      <c r="C284" s="7" t="s">
        <v>794</v>
      </c>
      <c r="D284" s="6" t="s">
        <v>240</v>
      </c>
      <c r="E284" s="6" t="s">
        <v>240</v>
      </c>
      <c r="F284" s="8">
        <v>6.7</v>
      </c>
      <c r="G284" s="9">
        <v>2</v>
      </c>
      <c r="H284" s="9">
        <v>19</v>
      </c>
      <c r="I284" s="10">
        <v>1.86</v>
      </c>
      <c r="J284" s="11" t="s">
        <v>241</v>
      </c>
      <c r="K284" s="11">
        <v>0</v>
      </c>
      <c r="L284" s="11">
        <v>1.0346</v>
      </c>
      <c r="M284" s="11">
        <v>2.0691000000000002</v>
      </c>
      <c r="N284" s="11">
        <v>0.2248</v>
      </c>
    </row>
    <row r="285" spans="2:14" ht="15" customHeight="1" x14ac:dyDescent="0.25">
      <c r="B285" s="6" t="s">
        <v>795</v>
      </c>
      <c r="C285" s="7" t="s">
        <v>796</v>
      </c>
      <c r="D285" s="6" t="s">
        <v>290</v>
      </c>
      <c r="E285" s="6" t="s">
        <v>240</v>
      </c>
      <c r="F285" s="8">
        <v>2.7</v>
      </c>
      <c r="G285" s="9">
        <v>1</v>
      </c>
      <c r="H285" s="9">
        <v>8</v>
      </c>
      <c r="I285" s="10">
        <v>2</v>
      </c>
      <c r="J285" s="11">
        <v>0.24160000000000001</v>
      </c>
      <c r="K285" s="11" t="s">
        <v>241</v>
      </c>
      <c r="L285" s="11" t="s">
        <v>241</v>
      </c>
      <c r="M285" s="11">
        <v>0.73839999999999995</v>
      </c>
      <c r="N285" s="11">
        <v>0.22120000000000001</v>
      </c>
    </row>
    <row r="286" spans="2:14" ht="15" customHeight="1" x14ac:dyDescent="0.25">
      <c r="B286" s="6" t="s">
        <v>797</v>
      </c>
      <c r="C286" s="7" t="s">
        <v>798</v>
      </c>
      <c r="D286" s="6" t="s">
        <v>290</v>
      </c>
      <c r="E286" s="6" t="s">
        <v>240</v>
      </c>
      <c r="F286" s="8">
        <v>4.3</v>
      </c>
      <c r="G286" s="9">
        <v>1</v>
      </c>
      <c r="H286" s="9">
        <v>12</v>
      </c>
      <c r="I286" s="10">
        <v>2</v>
      </c>
      <c r="J286" s="11">
        <v>0.2339</v>
      </c>
      <c r="K286" s="11" t="s">
        <v>241</v>
      </c>
      <c r="L286" s="11" t="s">
        <v>241</v>
      </c>
      <c r="M286" s="11">
        <v>1.202</v>
      </c>
      <c r="N286" s="11">
        <v>0.2465</v>
      </c>
    </row>
    <row r="287" spans="2:14" ht="15" customHeight="1" x14ac:dyDescent="0.25">
      <c r="B287" s="6" t="s">
        <v>799</v>
      </c>
      <c r="C287" s="7" t="s">
        <v>800</v>
      </c>
      <c r="D287" s="6" t="s">
        <v>240</v>
      </c>
      <c r="E287" s="6" t="s">
        <v>240</v>
      </c>
      <c r="F287" s="8">
        <v>1.4</v>
      </c>
      <c r="G287" s="9">
        <v>1</v>
      </c>
      <c r="H287" s="9">
        <v>4</v>
      </c>
      <c r="I287" s="10">
        <v>2</v>
      </c>
      <c r="J287" s="11" t="s">
        <v>241</v>
      </c>
      <c r="K287" s="11" t="s">
        <v>241</v>
      </c>
      <c r="L287" s="11" t="s">
        <v>241</v>
      </c>
      <c r="M287" s="11">
        <v>0.3367</v>
      </c>
      <c r="N287" s="11">
        <v>0.253</v>
      </c>
    </row>
    <row r="288" spans="2:14" ht="15" customHeight="1" x14ac:dyDescent="0.25">
      <c r="B288" s="6" t="s">
        <v>801</v>
      </c>
      <c r="C288" s="7" t="s">
        <v>802</v>
      </c>
      <c r="D288" s="6" t="s">
        <v>240</v>
      </c>
      <c r="E288" s="6" t="s">
        <v>240</v>
      </c>
      <c r="F288" s="8">
        <v>22.6</v>
      </c>
      <c r="G288" s="9">
        <v>7</v>
      </c>
      <c r="H288" s="9">
        <v>66</v>
      </c>
      <c r="I288" s="10">
        <v>1</v>
      </c>
      <c r="J288" s="11" t="s">
        <v>241</v>
      </c>
      <c r="K288" s="11">
        <v>2.4453</v>
      </c>
      <c r="L288" s="11">
        <v>1.2395</v>
      </c>
      <c r="M288" s="11">
        <v>11.121499999999999</v>
      </c>
      <c r="N288" s="11">
        <v>0.34549999999999997</v>
      </c>
    </row>
    <row r="289" spans="2:14" ht="15" customHeight="1" x14ac:dyDescent="0.25">
      <c r="B289" s="6" t="s">
        <v>803</v>
      </c>
      <c r="C289" s="7" t="s">
        <v>804</v>
      </c>
      <c r="D289" s="6" t="s">
        <v>240</v>
      </c>
      <c r="E289" s="6" t="s">
        <v>240</v>
      </c>
      <c r="F289" s="8">
        <v>12.7</v>
      </c>
      <c r="G289" s="9">
        <v>4</v>
      </c>
      <c r="H289" s="9">
        <v>36</v>
      </c>
      <c r="I289" s="10">
        <v>1</v>
      </c>
      <c r="J289" s="11" t="s">
        <v>241</v>
      </c>
      <c r="K289" s="11">
        <v>2.3763999999999998</v>
      </c>
      <c r="L289" s="11">
        <v>1.1673</v>
      </c>
      <c r="M289" s="11">
        <v>7.0454999999999997</v>
      </c>
      <c r="N289" s="11">
        <v>0.2732</v>
      </c>
    </row>
    <row r="290" spans="2:14" ht="15" customHeight="1" x14ac:dyDescent="0.25">
      <c r="B290" s="6" t="s">
        <v>805</v>
      </c>
      <c r="C290" s="7" t="s">
        <v>806</v>
      </c>
      <c r="D290" s="6" t="s">
        <v>240</v>
      </c>
      <c r="E290" s="6" t="s">
        <v>240</v>
      </c>
      <c r="F290" s="8">
        <v>7.1</v>
      </c>
      <c r="G290" s="9">
        <v>2</v>
      </c>
      <c r="H290" s="9">
        <v>22</v>
      </c>
      <c r="I290" s="10">
        <v>1</v>
      </c>
      <c r="J290" s="11" t="s">
        <v>241</v>
      </c>
      <c r="K290" s="11">
        <v>1.6387</v>
      </c>
      <c r="L290" s="11">
        <v>1.6962999999999999</v>
      </c>
      <c r="M290" s="11">
        <v>5.0313999999999997</v>
      </c>
      <c r="N290" s="11">
        <v>0.2949</v>
      </c>
    </row>
    <row r="291" spans="2:14" ht="15" customHeight="1" x14ac:dyDescent="0.25">
      <c r="B291" s="6" t="s">
        <v>807</v>
      </c>
      <c r="C291" s="7" t="s">
        <v>808</v>
      </c>
      <c r="D291" s="6" t="s">
        <v>240</v>
      </c>
      <c r="E291" s="6" t="s">
        <v>240</v>
      </c>
      <c r="F291" s="8">
        <v>21.3</v>
      </c>
      <c r="G291" s="9">
        <v>7</v>
      </c>
      <c r="H291" s="9">
        <v>65</v>
      </c>
      <c r="I291" s="10">
        <v>1.54</v>
      </c>
      <c r="J291" s="11" t="s">
        <v>241</v>
      </c>
      <c r="K291" s="11">
        <v>1.9403999999999999</v>
      </c>
      <c r="L291" s="11">
        <v>1.0892999999999999</v>
      </c>
      <c r="M291" s="11">
        <v>9.5652000000000008</v>
      </c>
      <c r="N291" s="11">
        <v>0.30409999999999998</v>
      </c>
    </row>
    <row r="292" spans="2:14" ht="15" customHeight="1" x14ac:dyDescent="0.25">
      <c r="B292" s="6" t="s">
        <v>809</v>
      </c>
      <c r="C292" s="7" t="s">
        <v>810</v>
      </c>
      <c r="D292" s="6" t="s">
        <v>240</v>
      </c>
      <c r="E292" s="6" t="s">
        <v>240</v>
      </c>
      <c r="F292" s="8">
        <v>9.6999999999999993</v>
      </c>
      <c r="G292" s="9">
        <v>3</v>
      </c>
      <c r="H292" s="9">
        <v>30</v>
      </c>
      <c r="I292" s="10">
        <v>1.28</v>
      </c>
      <c r="J292" s="11" t="s">
        <v>241</v>
      </c>
      <c r="K292" s="11">
        <v>1.4416</v>
      </c>
      <c r="L292" s="11">
        <v>1.2105999999999999</v>
      </c>
      <c r="M292" s="11">
        <v>5.0735000000000001</v>
      </c>
      <c r="N292" s="11">
        <v>0.28860000000000002</v>
      </c>
    </row>
    <row r="293" spans="2:14" ht="15" customHeight="1" x14ac:dyDescent="0.25">
      <c r="B293" s="6" t="s">
        <v>811</v>
      </c>
      <c r="C293" s="7" t="s">
        <v>812</v>
      </c>
      <c r="D293" s="6" t="s">
        <v>240</v>
      </c>
      <c r="E293" s="6" t="s">
        <v>240</v>
      </c>
      <c r="F293" s="8">
        <v>5</v>
      </c>
      <c r="G293" s="9">
        <v>1</v>
      </c>
      <c r="H293" s="9">
        <v>16</v>
      </c>
      <c r="I293" s="10">
        <v>1.1399999999999999</v>
      </c>
      <c r="J293" s="11" t="s">
        <v>241</v>
      </c>
      <c r="K293" s="11" t="s">
        <v>241</v>
      </c>
      <c r="L293" s="11" t="s">
        <v>241</v>
      </c>
      <c r="M293" s="11">
        <v>3.0118</v>
      </c>
      <c r="N293" s="11">
        <v>0.34849999999999998</v>
      </c>
    </row>
    <row r="294" spans="2:14" ht="15" customHeight="1" x14ac:dyDescent="0.25">
      <c r="B294" s="6" t="s">
        <v>813</v>
      </c>
      <c r="C294" s="7" t="s">
        <v>814</v>
      </c>
      <c r="D294" s="6" t="s">
        <v>240</v>
      </c>
      <c r="E294" s="6" t="s">
        <v>240</v>
      </c>
      <c r="F294" s="8">
        <v>17.5</v>
      </c>
      <c r="G294" s="9">
        <v>5</v>
      </c>
      <c r="H294" s="9">
        <v>51</v>
      </c>
      <c r="I294" s="10">
        <v>1</v>
      </c>
      <c r="J294" s="11" t="s">
        <v>241</v>
      </c>
      <c r="K294" s="11">
        <v>2.258</v>
      </c>
      <c r="L294" s="11">
        <v>1.6234</v>
      </c>
      <c r="M294" s="11">
        <v>10.3751</v>
      </c>
      <c r="N294" s="11">
        <v>0.32940000000000003</v>
      </c>
    </row>
    <row r="295" spans="2:14" ht="15" customHeight="1" x14ac:dyDescent="0.25">
      <c r="B295" s="6" t="s">
        <v>815</v>
      </c>
      <c r="C295" s="7" t="s">
        <v>816</v>
      </c>
      <c r="D295" s="6" t="s">
        <v>240</v>
      </c>
      <c r="E295" s="6" t="s">
        <v>240</v>
      </c>
      <c r="F295" s="8">
        <v>6.9</v>
      </c>
      <c r="G295" s="9">
        <v>2</v>
      </c>
      <c r="H295" s="9">
        <v>22</v>
      </c>
      <c r="I295" s="10">
        <v>1</v>
      </c>
      <c r="J295" s="11" t="s">
        <v>241</v>
      </c>
      <c r="K295" s="11">
        <v>0.98399999999999999</v>
      </c>
      <c r="L295" s="11">
        <v>1.6609</v>
      </c>
      <c r="M295" s="11">
        <v>4.3057999999999996</v>
      </c>
      <c r="N295" s="11">
        <v>0.34110000000000001</v>
      </c>
    </row>
    <row r="296" spans="2:14" ht="15" customHeight="1" x14ac:dyDescent="0.25">
      <c r="B296" s="6" t="s">
        <v>817</v>
      </c>
      <c r="C296" s="7" t="s">
        <v>818</v>
      </c>
      <c r="D296" s="6" t="s">
        <v>240</v>
      </c>
      <c r="E296" s="6" t="s">
        <v>240</v>
      </c>
      <c r="F296" s="8">
        <v>2.8</v>
      </c>
      <c r="G296" s="9">
        <v>1</v>
      </c>
      <c r="H296" s="9">
        <v>9</v>
      </c>
      <c r="I296" s="10">
        <v>1.36</v>
      </c>
      <c r="J296" s="11" t="s">
        <v>241</v>
      </c>
      <c r="K296" s="11" t="s">
        <v>241</v>
      </c>
      <c r="L296" s="11" t="s">
        <v>241</v>
      </c>
      <c r="M296" s="11">
        <v>2.1850999999999998</v>
      </c>
      <c r="N296" s="11">
        <v>0.32069999999999999</v>
      </c>
    </row>
    <row r="297" spans="2:14" ht="15" customHeight="1" x14ac:dyDescent="0.25">
      <c r="B297" s="6" t="s">
        <v>819</v>
      </c>
      <c r="C297" s="7" t="s">
        <v>820</v>
      </c>
      <c r="D297" s="6" t="s">
        <v>240</v>
      </c>
      <c r="E297" s="6" t="s">
        <v>240</v>
      </c>
      <c r="F297" s="8">
        <v>13.4</v>
      </c>
      <c r="G297" s="9">
        <v>4</v>
      </c>
      <c r="H297" s="9">
        <v>42</v>
      </c>
      <c r="I297" s="10">
        <v>1.22</v>
      </c>
      <c r="J297" s="11" t="s">
        <v>241</v>
      </c>
      <c r="K297" s="11">
        <v>1.1308</v>
      </c>
      <c r="L297" s="11">
        <v>1.1906000000000001</v>
      </c>
      <c r="M297" s="11">
        <v>5.8933</v>
      </c>
      <c r="N297" s="11">
        <v>0.29580000000000001</v>
      </c>
    </row>
    <row r="298" spans="2:14" ht="15" customHeight="1" x14ac:dyDescent="0.25">
      <c r="B298" s="6" t="s">
        <v>821</v>
      </c>
      <c r="C298" s="7" t="s">
        <v>822</v>
      </c>
      <c r="D298" s="6" t="s">
        <v>240</v>
      </c>
      <c r="E298" s="6" t="s">
        <v>240</v>
      </c>
      <c r="F298" s="8">
        <v>5.8</v>
      </c>
      <c r="G298" s="9">
        <v>2</v>
      </c>
      <c r="H298" s="9">
        <v>20</v>
      </c>
      <c r="I298" s="10">
        <v>1.41</v>
      </c>
      <c r="J298" s="11" t="s">
        <v>241</v>
      </c>
      <c r="K298" s="11">
        <v>0.79510000000000003</v>
      </c>
      <c r="L298" s="11">
        <v>1.1371</v>
      </c>
      <c r="M298" s="11">
        <v>3.0693000000000001</v>
      </c>
      <c r="N298" s="11">
        <v>0.32279999999999998</v>
      </c>
    </row>
    <row r="299" spans="2:14" ht="15" customHeight="1" x14ac:dyDescent="0.25">
      <c r="B299" s="6" t="s">
        <v>823</v>
      </c>
      <c r="C299" s="7" t="s">
        <v>824</v>
      </c>
      <c r="D299" s="6" t="s">
        <v>240</v>
      </c>
      <c r="E299" s="6" t="s">
        <v>240</v>
      </c>
      <c r="F299" s="8">
        <v>2.5</v>
      </c>
      <c r="G299" s="9">
        <v>1</v>
      </c>
      <c r="H299" s="9">
        <v>8</v>
      </c>
      <c r="I299" s="10">
        <v>1.22</v>
      </c>
      <c r="J299" s="11" t="s">
        <v>241</v>
      </c>
      <c r="K299" s="11" t="s">
        <v>241</v>
      </c>
      <c r="L299" s="11" t="s">
        <v>241</v>
      </c>
      <c r="M299" s="11">
        <v>1.7686999999999999</v>
      </c>
      <c r="N299" s="11">
        <v>0.36620000000000003</v>
      </c>
    </row>
    <row r="300" spans="2:14" ht="15" customHeight="1" x14ac:dyDescent="0.25">
      <c r="B300" s="6" t="s">
        <v>825</v>
      </c>
      <c r="C300" s="7" t="s">
        <v>826</v>
      </c>
      <c r="D300" s="6" t="s">
        <v>240</v>
      </c>
      <c r="E300" s="6" t="s">
        <v>240</v>
      </c>
      <c r="F300" s="8">
        <v>9.6</v>
      </c>
      <c r="G300" s="9">
        <v>3</v>
      </c>
      <c r="H300" s="9">
        <v>30</v>
      </c>
      <c r="I300" s="10">
        <v>1.05</v>
      </c>
      <c r="J300" s="11" t="s">
        <v>241</v>
      </c>
      <c r="K300" s="11">
        <v>0.89500000000000002</v>
      </c>
      <c r="L300" s="11">
        <v>1.1789000000000001</v>
      </c>
      <c r="M300" s="11">
        <v>4.4318</v>
      </c>
      <c r="N300" s="11">
        <v>0.31259999999999999</v>
      </c>
    </row>
    <row r="301" spans="2:14" ht="15" customHeight="1" x14ac:dyDescent="0.25">
      <c r="B301" s="6" t="s">
        <v>827</v>
      </c>
      <c r="C301" s="7" t="s">
        <v>828</v>
      </c>
      <c r="D301" s="6" t="s">
        <v>240</v>
      </c>
      <c r="E301" s="6" t="s">
        <v>240</v>
      </c>
      <c r="F301" s="8">
        <v>3.6</v>
      </c>
      <c r="G301" s="9">
        <v>1</v>
      </c>
      <c r="H301" s="9">
        <v>11</v>
      </c>
      <c r="I301" s="10">
        <v>0.8</v>
      </c>
      <c r="J301" s="11" t="s">
        <v>241</v>
      </c>
      <c r="K301" s="11" t="s">
        <v>241</v>
      </c>
      <c r="L301" s="11" t="s">
        <v>241</v>
      </c>
      <c r="M301" s="11">
        <v>2.1638999999999999</v>
      </c>
      <c r="N301" s="11">
        <v>0.36930000000000002</v>
      </c>
    </row>
    <row r="302" spans="2:14" ht="15" customHeight="1" x14ac:dyDescent="0.25">
      <c r="B302" s="6" t="s">
        <v>829</v>
      </c>
      <c r="C302" s="7" t="s">
        <v>830</v>
      </c>
      <c r="D302" s="6" t="s">
        <v>240</v>
      </c>
      <c r="E302" s="6" t="s">
        <v>240</v>
      </c>
      <c r="F302" s="8">
        <v>3.6</v>
      </c>
      <c r="G302" s="9">
        <v>1</v>
      </c>
      <c r="H302" s="9">
        <v>11</v>
      </c>
      <c r="I302" s="10">
        <v>1</v>
      </c>
      <c r="J302" s="11" t="s">
        <v>241</v>
      </c>
      <c r="K302" s="11" t="s">
        <v>241</v>
      </c>
      <c r="L302" s="11" t="s">
        <v>241</v>
      </c>
      <c r="M302" s="11">
        <v>2.1735000000000002</v>
      </c>
      <c r="N302" s="11">
        <v>0.36890000000000001</v>
      </c>
    </row>
    <row r="303" spans="2:14" ht="15" customHeight="1" x14ac:dyDescent="0.25">
      <c r="B303" s="6" t="s">
        <v>831</v>
      </c>
      <c r="C303" s="7" t="s">
        <v>832</v>
      </c>
      <c r="D303" s="6" t="s">
        <v>240</v>
      </c>
      <c r="E303" s="6" t="s">
        <v>240</v>
      </c>
      <c r="F303" s="8">
        <v>4.5</v>
      </c>
      <c r="G303" s="9">
        <v>1</v>
      </c>
      <c r="H303" s="9">
        <v>14</v>
      </c>
      <c r="I303" s="10">
        <v>1.49</v>
      </c>
      <c r="J303" s="11" t="s">
        <v>241</v>
      </c>
      <c r="K303" s="11" t="s">
        <v>241</v>
      </c>
      <c r="L303" s="11" t="s">
        <v>241</v>
      </c>
      <c r="M303" s="11">
        <v>2.1724999999999999</v>
      </c>
      <c r="N303" s="11">
        <v>0.33779999999999999</v>
      </c>
    </row>
    <row r="304" spans="2:14" ht="15" customHeight="1" x14ac:dyDescent="0.25">
      <c r="B304" s="6" t="s">
        <v>833</v>
      </c>
      <c r="C304" s="7" t="s">
        <v>834</v>
      </c>
      <c r="D304" s="6" t="s">
        <v>240</v>
      </c>
      <c r="E304" s="6" t="s">
        <v>240</v>
      </c>
      <c r="F304" s="8">
        <v>2</v>
      </c>
      <c r="G304" s="9">
        <v>1</v>
      </c>
      <c r="H304" s="9">
        <v>6</v>
      </c>
      <c r="I304" s="10">
        <v>1.22</v>
      </c>
      <c r="J304" s="11" t="s">
        <v>241</v>
      </c>
      <c r="K304" s="11" t="s">
        <v>241</v>
      </c>
      <c r="L304" s="11" t="s">
        <v>241</v>
      </c>
      <c r="M304" s="11">
        <v>1.2806999999999999</v>
      </c>
      <c r="N304" s="11">
        <v>0.33779999999999999</v>
      </c>
    </row>
    <row r="305" spans="2:14" ht="15" customHeight="1" x14ac:dyDescent="0.25">
      <c r="B305" s="6" t="s">
        <v>835</v>
      </c>
      <c r="C305" s="7" t="s">
        <v>836</v>
      </c>
      <c r="D305" s="6" t="s">
        <v>240</v>
      </c>
      <c r="E305" s="6" t="s">
        <v>240</v>
      </c>
      <c r="F305" s="8">
        <v>3.6</v>
      </c>
      <c r="G305" s="9">
        <v>1</v>
      </c>
      <c r="H305" s="9">
        <v>12</v>
      </c>
      <c r="I305" s="10">
        <v>0.88</v>
      </c>
      <c r="J305" s="11" t="s">
        <v>241</v>
      </c>
      <c r="K305" s="11" t="s">
        <v>241</v>
      </c>
      <c r="L305" s="11" t="s">
        <v>241</v>
      </c>
      <c r="M305" s="11">
        <v>2.1695000000000002</v>
      </c>
      <c r="N305" s="11">
        <v>0.31969999999999998</v>
      </c>
    </row>
    <row r="306" spans="2:14" ht="15" customHeight="1" x14ac:dyDescent="0.25">
      <c r="B306" s="6" t="s">
        <v>837</v>
      </c>
      <c r="C306" s="7" t="s">
        <v>838</v>
      </c>
      <c r="D306" s="6" t="s">
        <v>240</v>
      </c>
      <c r="E306" s="6" t="s">
        <v>240</v>
      </c>
      <c r="F306" s="8">
        <v>1.2</v>
      </c>
      <c r="G306" s="9">
        <v>1</v>
      </c>
      <c r="H306" s="9">
        <v>4</v>
      </c>
      <c r="I306" s="10">
        <v>0.8</v>
      </c>
      <c r="J306" s="11" t="s">
        <v>241</v>
      </c>
      <c r="K306" s="11" t="s">
        <v>241</v>
      </c>
      <c r="L306" s="11" t="s">
        <v>241</v>
      </c>
      <c r="M306" s="11">
        <v>1.1408</v>
      </c>
      <c r="N306" s="11">
        <v>0.39879999999999999</v>
      </c>
    </row>
    <row r="307" spans="2:14" ht="15" customHeight="1" x14ac:dyDescent="0.25">
      <c r="B307" s="6" t="s">
        <v>839</v>
      </c>
      <c r="C307" s="7" t="s">
        <v>840</v>
      </c>
      <c r="D307" s="6" t="s">
        <v>240</v>
      </c>
      <c r="E307" s="6" t="s">
        <v>240</v>
      </c>
      <c r="F307" s="8">
        <v>4.5</v>
      </c>
      <c r="G307" s="9">
        <v>1</v>
      </c>
      <c r="H307" s="9">
        <v>13</v>
      </c>
      <c r="I307" s="10">
        <v>1.65</v>
      </c>
      <c r="J307" s="11" t="s">
        <v>241</v>
      </c>
      <c r="K307" s="11" t="s">
        <v>241</v>
      </c>
      <c r="L307" s="11" t="s">
        <v>241</v>
      </c>
      <c r="M307" s="11">
        <v>1.5403</v>
      </c>
      <c r="N307" s="11">
        <v>0.25280000000000002</v>
      </c>
    </row>
    <row r="308" spans="2:14" ht="15" customHeight="1" x14ac:dyDescent="0.25">
      <c r="B308" s="6" t="s">
        <v>841</v>
      </c>
      <c r="C308" s="7" t="s">
        <v>842</v>
      </c>
      <c r="D308" s="6" t="s">
        <v>240</v>
      </c>
      <c r="E308" s="6" t="s">
        <v>240</v>
      </c>
      <c r="F308" s="8">
        <v>1.4</v>
      </c>
      <c r="G308" s="9">
        <v>1</v>
      </c>
      <c r="H308" s="9">
        <v>4</v>
      </c>
      <c r="I308" s="10">
        <v>1.3</v>
      </c>
      <c r="J308" s="11" t="s">
        <v>241</v>
      </c>
      <c r="K308" s="11" t="s">
        <v>241</v>
      </c>
      <c r="L308" s="11" t="s">
        <v>241</v>
      </c>
      <c r="M308" s="11">
        <v>0.66979999999999995</v>
      </c>
      <c r="N308" s="11">
        <v>0.28060000000000002</v>
      </c>
    </row>
    <row r="309" spans="2:14" ht="15" customHeight="1" x14ac:dyDescent="0.25">
      <c r="B309" s="6" t="s">
        <v>843</v>
      </c>
      <c r="C309" s="7" t="s">
        <v>844</v>
      </c>
      <c r="D309" s="6" t="s">
        <v>240</v>
      </c>
      <c r="E309" s="6" t="s">
        <v>240</v>
      </c>
      <c r="F309" s="8">
        <v>16.8</v>
      </c>
      <c r="G309" s="9">
        <v>5</v>
      </c>
      <c r="H309" s="9">
        <v>48</v>
      </c>
      <c r="I309" s="10">
        <v>1</v>
      </c>
      <c r="J309" s="11" t="s">
        <v>241</v>
      </c>
      <c r="K309" s="11">
        <v>0.79669999999999996</v>
      </c>
      <c r="L309" s="11">
        <v>1.1157999999999999</v>
      </c>
      <c r="M309" s="11">
        <v>6.3757000000000001</v>
      </c>
      <c r="N309" s="11">
        <v>0.26300000000000001</v>
      </c>
    </row>
    <row r="310" spans="2:14" ht="15" customHeight="1" x14ac:dyDescent="0.25">
      <c r="B310" s="6" t="s">
        <v>845</v>
      </c>
      <c r="C310" s="7" t="s">
        <v>846</v>
      </c>
      <c r="D310" s="6" t="s">
        <v>240</v>
      </c>
      <c r="E310" s="6" t="s">
        <v>240</v>
      </c>
      <c r="F310" s="8">
        <v>7.3</v>
      </c>
      <c r="G310" s="9">
        <v>2</v>
      </c>
      <c r="H310" s="9">
        <v>22</v>
      </c>
      <c r="I310" s="10">
        <v>1.34</v>
      </c>
      <c r="J310" s="11" t="s">
        <v>241</v>
      </c>
      <c r="K310" s="11">
        <v>0.66439999999999999</v>
      </c>
      <c r="L310" s="11">
        <v>1.0015000000000001</v>
      </c>
      <c r="M310" s="11">
        <v>2.6675</v>
      </c>
      <c r="N310" s="11">
        <v>0.22570000000000001</v>
      </c>
    </row>
    <row r="311" spans="2:14" ht="15" customHeight="1" x14ac:dyDescent="0.25">
      <c r="B311" s="6" t="s">
        <v>847</v>
      </c>
      <c r="C311" s="7" t="s">
        <v>848</v>
      </c>
      <c r="D311" s="6" t="s">
        <v>290</v>
      </c>
      <c r="E311" s="6" t="s">
        <v>240</v>
      </c>
      <c r="F311" s="8">
        <v>3.7</v>
      </c>
      <c r="G311" s="9">
        <v>1</v>
      </c>
      <c r="H311" s="9">
        <v>11</v>
      </c>
      <c r="I311" s="10">
        <v>1.25</v>
      </c>
      <c r="J311" s="11">
        <v>0.81220000000000003</v>
      </c>
      <c r="K311" s="11" t="s">
        <v>241</v>
      </c>
      <c r="L311" s="11" t="s">
        <v>241</v>
      </c>
      <c r="M311" s="11">
        <v>1.6662999999999999</v>
      </c>
      <c r="N311" s="11">
        <v>0.20610000000000001</v>
      </c>
    </row>
    <row r="312" spans="2:14" ht="15" customHeight="1" x14ac:dyDescent="0.25">
      <c r="B312" s="6" t="s">
        <v>849</v>
      </c>
      <c r="C312" s="7" t="s">
        <v>850</v>
      </c>
      <c r="D312" s="6" t="s">
        <v>240</v>
      </c>
      <c r="E312" s="6" t="s">
        <v>240</v>
      </c>
      <c r="F312" s="8">
        <v>18.100000000000001</v>
      </c>
      <c r="G312" s="9">
        <v>6</v>
      </c>
      <c r="H312" s="9">
        <v>55</v>
      </c>
      <c r="I312" s="10">
        <v>1</v>
      </c>
      <c r="J312" s="11" t="s">
        <v>241</v>
      </c>
      <c r="K312" s="11">
        <v>3.1312000000000002</v>
      </c>
      <c r="L312" s="11">
        <v>1.9448000000000001</v>
      </c>
      <c r="M312" s="11">
        <v>14.799899999999999</v>
      </c>
      <c r="N312" s="11">
        <v>0.45650000000000002</v>
      </c>
    </row>
    <row r="313" spans="2:14" ht="15" customHeight="1" x14ac:dyDescent="0.25">
      <c r="B313" s="6" t="s">
        <v>851</v>
      </c>
      <c r="C313" s="7" t="s">
        <v>852</v>
      </c>
      <c r="D313" s="6" t="s">
        <v>290</v>
      </c>
      <c r="E313" s="6" t="s">
        <v>240</v>
      </c>
      <c r="F313" s="8">
        <v>7.3</v>
      </c>
      <c r="G313" s="9">
        <v>2</v>
      </c>
      <c r="H313" s="9">
        <v>21</v>
      </c>
      <c r="I313" s="10">
        <v>1.68</v>
      </c>
      <c r="J313" s="11">
        <v>0.55959999999999999</v>
      </c>
      <c r="K313" s="11">
        <v>0.4113</v>
      </c>
      <c r="L313" s="11">
        <v>1.0844</v>
      </c>
      <c r="M313" s="11">
        <v>2.5802</v>
      </c>
      <c r="N313" s="11">
        <v>0.27510000000000001</v>
      </c>
    </row>
    <row r="314" spans="2:14" ht="15" customHeight="1" x14ac:dyDescent="0.25">
      <c r="B314" s="6" t="s">
        <v>853</v>
      </c>
      <c r="C314" s="7" t="s">
        <v>854</v>
      </c>
      <c r="D314" s="6" t="s">
        <v>240</v>
      </c>
      <c r="E314" s="6" t="s">
        <v>240</v>
      </c>
      <c r="F314" s="8">
        <v>1.1000000000000001</v>
      </c>
      <c r="G314" s="9">
        <v>1</v>
      </c>
      <c r="H314" s="9">
        <v>3</v>
      </c>
      <c r="I314" s="10">
        <v>1.69</v>
      </c>
      <c r="J314" s="11" t="s">
        <v>241</v>
      </c>
      <c r="K314" s="11" t="s">
        <v>241</v>
      </c>
      <c r="L314" s="11" t="s">
        <v>241</v>
      </c>
      <c r="M314" s="11">
        <v>0.49249999999999999</v>
      </c>
      <c r="N314" s="11">
        <v>0.31230000000000002</v>
      </c>
    </row>
    <row r="315" spans="2:14" ht="15" customHeight="1" x14ac:dyDescent="0.25">
      <c r="B315" s="6" t="s">
        <v>855</v>
      </c>
      <c r="C315" s="7" t="s">
        <v>856</v>
      </c>
      <c r="D315" s="6" t="s">
        <v>240</v>
      </c>
      <c r="E315" s="6" t="s">
        <v>240</v>
      </c>
      <c r="F315" s="8">
        <v>6</v>
      </c>
      <c r="G315" s="9">
        <v>2</v>
      </c>
      <c r="H315" s="9">
        <v>18</v>
      </c>
      <c r="I315" s="10">
        <v>1.4</v>
      </c>
      <c r="J315" s="11" t="s">
        <v>241</v>
      </c>
      <c r="K315" s="11">
        <v>0.28870000000000001</v>
      </c>
      <c r="L315" s="11">
        <v>0.90539999999999998</v>
      </c>
      <c r="M315" s="11">
        <v>2.0994000000000002</v>
      </c>
      <c r="N315" s="11">
        <v>0.26190000000000002</v>
      </c>
    </row>
    <row r="316" spans="2:14" ht="15" customHeight="1" x14ac:dyDescent="0.25">
      <c r="B316" s="6" t="s">
        <v>857</v>
      </c>
      <c r="C316" s="7" t="s">
        <v>858</v>
      </c>
      <c r="D316" s="6" t="s">
        <v>290</v>
      </c>
      <c r="E316" s="6" t="s">
        <v>240</v>
      </c>
      <c r="F316" s="8">
        <v>2.2999999999999998</v>
      </c>
      <c r="G316" s="9">
        <v>1</v>
      </c>
      <c r="H316" s="9">
        <v>8</v>
      </c>
      <c r="I316" s="10">
        <v>1.25</v>
      </c>
      <c r="J316" s="11">
        <v>0.39989999999999998</v>
      </c>
      <c r="K316" s="11" t="s">
        <v>241</v>
      </c>
      <c r="L316" s="11" t="s">
        <v>241</v>
      </c>
      <c r="M316" s="11">
        <v>0.90659999999999996</v>
      </c>
      <c r="N316" s="11">
        <v>0.22159999999999999</v>
      </c>
    </row>
    <row r="317" spans="2:14" ht="15" customHeight="1" x14ac:dyDescent="0.25">
      <c r="B317" s="6" t="s">
        <v>859</v>
      </c>
      <c r="C317" s="7" t="s">
        <v>860</v>
      </c>
      <c r="D317" s="6" t="s">
        <v>240</v>
      </c>
      <c r="E317" s="6" t="s">
        <v>240</v>
      </c>
      <c r="F317" s="8">
        <v>1.1000000000000001</v>
      </c>
      <c r="G317" s="9">
        <v>1</v>
      </c>
      <c r="H317" s="9">
        <v>3</v>
      </c>
      <c r="I317" s="10">
        <v>1.36</v>
      </c>
      <c r="J317" s="11" t="s">
        <v>241</v>
      </c>
      <c r="K317" s="11" t="s">
        <v>241</v>
      </c>
      <c r="L317" s="11" t="s">
        <v>241</v>
      </c>
      <c r="M317" s="11">
        <v>0.33979999999999999</v>
      </c>
      <c r="N317" s="11">
        <v>0.26679999999999998</v>
      </c>
    </row>
    <row r="318" spans="2:14" ht="15" customHeight="1" x14ac:dyDescent="0.25">
      <c r="B318" s="6" t="s">
        <v>861</v>
      </c>
      <c r="C318" s="7" t="s">
        <v>862</v>
      </c>
      <c r="D318" s="6" t="s">
        <v>290</v>
      </c>
      <c r="E318" s="6" t="s">
        <v>240</v>
      </c>
      <c r="F318" s="8">
        <v>6</v>
      </c>
      <c r="G318" s="9">
        <v>1</v>
      </c>
      <c r="H318" s="9">
        <v>18</v>
      </c>
      <c r="I318" s="10">
        <v>1.82</v>
      </c>
      <c r="J318" s="11">
        <v>0.43120000000000003</v>
      </c>
      <c r="K318" s="11" t="s">
        <v>241</v>
      </c>
      <c r="L318" s="11" t="s">
        <v>241</v>
      </c>
      <c r="M318" s="11">
        <v>1.8878999999999999</v>
      </c>
      <c r="N318" s="11">
        <v>0.26440000000000002</v>
      </c>
    </row>
    <row r="319" spans="2:14" ht="15" customHeight="1" x14ac:dyDescent="0.25">
      <c r="B319" s="6" t="s">
        <v>863</v>
      </c>
      <c r="C319" s="7" t="s">
        <v>864</v>
      </c>
      <c r="D319" s="6" t="s">
        <v>240</v>
      </c>
      <c r="E319" s="6" t="s">
        <v>240</v>
      </c>
      <c r="F319" s="8">
        <v>1.1000000000000001</v>
      </c>
      <c r="G319" s="9">
        <v>1</v>
      </c>
      <c r="H319" s="9">
        <v>3</v>
      </c>
      <c r="I319" s="10">
        <v>1.86</v>
      </c>
      <c r="J319" s="11" t="s">
        <v>241</v>
      </c>
      <c r="K319" s="11" t="s">
        <v>241</v>
      </c>
      <c r="L319" s="11" t="s">
        <v>241</v>
      </c>
      <c r="M319" s="11">
        <v>0.42009999999999997</v>
      </c>
      <c r="N319" s="11">
        <v>0.18329999999999999</v>
      </c>
    </row>
    <row r="320" spans="2:14" ht="15" customHeight="1" x14ac:dyDescent="0.25">
      <c r="B320" s="6" t="s">
        <v>865</v>
      </c>
      <c r="C320" s="7" t="s">
        <v>866</v>
      </c>
      <c r="D320" s="6" t="s">
        <v>240</v>
      </c>
      <c r="E320" s="6" t="s">
        <v>240</v>
      </c>
      <c r="F320" s="8">
        <v>6.8</v>
      </c>
      <c r="G320" s="9">
        <v>2</v>
      </c>
      <c r="H320" s="9">
        <v>21</v>
      </c>
      <c r="I320" s="10">
        <v>1</v>
      </c>
      <c r="J320" s="11" t="s">
        <v>241</v>
      </c>
      <c r="K320" s="11">
        <v>8.8900000000000007E-2</v>
      </c>
      <c r="L320" s="11">
        <v>0.95069999999999999</v>
      </c>
      <c r="M320" s="11">
        <v>1.9903</v>
      </c>
      <c r="N320" s="11">
        <v>0.23319999999999999</v>
      </c>
    </row>
    <row r="321" spans="2:14" ht="15" customHeight="1" x14ac:dyDescent="0.25">
      <c r="B321" s="6" t="s">
        <v>867</v>
      </c>
      <c r="C321" s="7" t="s">
        <v>868</v>
      </c>
      <c r="D321" s="6" t="s">
        <v>290</v>
      </c>
      <c r="E321" s="6" t="s">
        <v>240</v>
      </c>
      <c r="F321" s="8">
        <v>2.2999999999999998</v>
      </c>
      <c r="G321" s="9">
        <v>1</v>
      </c>
      <c r="H321" s="9">
        <v>7</v>
      </c>
      <c r="I321" s="10">
        <v>1</v>
      </c>
      <c r="J321" s="11">
        <v>0.25319999999999998</v>
      </c>
      <c r="K321" s="11" t="s">
        <v>241</v>
      </c>
      <c r="L321" s="11" t="s">
        <v>241</v>
      </c>
      <c r="M321" s="11">
        <v>0.54339999999999999</v>
      </c>
      <c r="N321" s="11">
        <v>0.22509999999999999</v>
      </c>
    </row>
    <row r="322" spans="2:14" ht="15" customHeight="1" x14ac:dyDescent="0.25">
      <c r="B322" s="6" t="s">
        <v>869</v>
      </c>
      <c r="C322" s="7" t="s">
        <v>870</v>
      </c>
      <c r="D322" s="6" t="s">
        <v>240</v>
      </c>
      <c r="E322" s="6" t="s">
        <v>240</v>
      </c>
      <c r="F322" s="8">
        <v>4.8</v>
      </c>
      <c r="G322" s="9">
        <v>1</v>
      </c>
      <c r="H322" s="9">
        <v>13</v>
      </c>
      <c r="I322" s="10">
        <v>1.25</v>
      </c>
      <c r="J322" s="11" t="s">
        <v>241</v>
      </c>
      <c r="K322" s="11" t="s">
        <v>241</v>
      </c>
      <c r="L322" s="11" t="s">
        <v>241</v>
      </c>
      <c r="M322" s="11">
        <v>1.1575</v>
      </c>
      <c r="N322" s="11">
        <v>0.23699999999999999</v>
      </c>
    </row>
    <row r="323" spans="2:14" ht="15" customHeight="1" x14ac:dyDescent="0.25">
      <c r="B323" s="6" t="s">
        <v>871</v>
      </c>
      <c r="C323" s="7" t="s">
        <v>872</v>
      </c>
      <c r="D323" s="6" t="s">
        <v>240</v>
      </c>
      <c r="E323" s="6" t="s">
        <v>240</v>
      </c>
      <c r="F323" s="8">
        <v>1.8</v>
      </c>
      <c r="G323" s="9">
        <v>1</v>
      </c>
      <c r="H323" s="9">
        <v>5</v>
      </c>
      <c r="I323" s="10">
        <v>1.17</v>
      </c>
      <c r="J323" s="11" t="s">
        <v>241</v>
      </c>
      <c r="K323" s="11" t="s">
        <v>241</v>
      </c>
      <c r="L323" s="11" t="s">
        <v>241</v>
      </c>
      <c r="M323" s="11">
        <v>0.40029999999999999</v>
      </c>
      <c r="N323" s="11">
        <v>0.24440000000000001</v>
      </c>
    </row>
    <row r="324" spans="2:14" ht="15" customHeight="1" x14ac:dyDescent="0.25">
      <c r="B324" s="6" t="s">
        <v>873</v>
      </c>
      <c r="C324" s="7" t="s">
        <v>874</v>
      </c>
      <c r="D324" s="6" t="s">
        <v>240</v>
      </c>
      <c r="E324" s="6" t="s">
        <v>240</v>
      </c>
      <c r="F324" s="8">
        <v>1.2</v>
      </c>
      <c r="G324" s="9">
        <v>1</v>
      </c>
      <c r="H324" s="9">
        <v>4</v>
      </c>
      <c r="I324" s="10">
        <v>1.25</v>
      </c>
      <c r="J324" s="11" t="s">
        <v>241</v>
      </c>
      <c r="K324" s="11" t="s">
        <v>241</v>
      </c>
      <c r="L324" s="11" t="s">
        <v>241</v>
      </c>
      <c r="M324" s="11">
        <v>0.20069999999999999</v>
      </c>
      <c r="N324" s="11">
        <v>0.1234</v>
      </c>
    </row>
    <row r="325" spans="2:14" ht="15" customHeight="1" x14ac:dyDescent="0.25">
      <c r="B325" s="6" t="s">
        <v>875</v>
      </c>
      <c r="C325" s="7" t="s">
        <v>876</v>
      </c>
      <c r="D325" s="6" t="s">
        <v>240</v>
      </c>
      <c r="E325" s="6" t="s">
        <v>240</v>
      </c>
      <c r="F325" s="8">
        <v>6.1</v>
      </c>
      <c r="G325" s="9">
        <v>1</v>
      </c>
      <c r="H325" s="9">
        <v>17</v>
      </c>
      <c r="I325" s="10">
        <v>1.39</v>
      </c>
      <c r="J325" s="11" t="s">
        <v>241</v>
      </c>
      <c r="K325" s="11" t="s">
        <v>241</v>
      </c>
      <c r="L325" s="11" t="s">
        <v>241</v>
      </c>
      <c r="M325" s="11">
        <v>1.5780000000000001</v>
      </c>
      <c r="N325" s="11">
        <v>0.25040000000000001</v>
      </c>
    </row>
    <row r="326" spans="2:14" ht="15" customHeight="1" x14ac:dyDescent="0.25">
      <c r="B326" s="6" t="s">
        <v>877</v>
      </c>
      <c r="C326" s="7" t="s">
        <v>878</v>
      </c>
      <c r="D326" s="6" t="s">
        <v>240</v>
      </c>
      <c r="E326" s="6" t="s">
        <v>240</v>
      </c>
      <c r="F326" s="8">
        <v>2.5</v>
      </c>
      <c r="G326" s="9">
        <v>1</v>
      </c>
      <c r="H326" s="9">
        <v>8</v>
      </c>
      <c r="I326" s="10">
        <v>1</v>
      </c>
      <c r="J326" s="11" t="s">
        <v>241</v>
      </c>
      <c r="K326" s="11" t="s">
        <v>241</v>
      </c>
      <c r="L326" s="11" t="s">
        <v>241</v>
      </c>
      <c r="M326" s="11">
        <v>0.6381</v>
      </c>
      <c r="N326" s="11">
        <v>0.23180000000000001</v>
      </c>
    </row>
    <row r="327" spans="2:14" ht="15" customHeight="1" x14ac:dyDescent="0.25">
      <c r="B327" s="6" t="s">
        <v>879</v>
      </c>
      <c r="C327" s="7" t="s">
        <v>880</v>
      </c>
      <c r="D327" s="6" t="s">
        <v>290</v>
      </c>
      <c r="E327" s="6" t="s">
        <v>240</v>
      </c>
      <c r="F327" s="8">
        <v>2.6</v>
      </c>
      <c r="G327" s="9">
        <v>1</v>
      </c>
      <c r="H327" s="9">
        <v>8</v>
      </c>
      <c r="I327" s="10">
        <v>1</v>
      </c>
      <c r="J327" s="11">
        <v>0.1341</v>
      </c>
      <c r="K327" s="11" t="s">
        <v>241</v>
      </c>
      <c r="L327" s="11" t="s">
        <v>241</v>
      </c>
      <c r="M327" s="11">
        <v>0.66779999999999995</v>
      </c>
      <c r="N327" s="11">
        <v>0.2417</v>
      </c>
    </row>
    <row r="328" spans="2:14" ht="15" customHeight="1" x14ac:dyDescent="0.25">
      <c r="B328" s="6" t="s">
        <v>881</v>
      </c>
      <c r="C328" s="7" t="s">
        <v>882</v>
      </c>
      <c r="D328" s="6" t="s">
        <v>240</v>
      </c>
      <c r="E328" s="6" t="s">
        <v>240</v>
      </c>
      <c r="F328" s="8">
        <v>1.2</v>
      </c>
      <c r="G328" s="9">
        <v>1</v>
      </c>
      <c r="H328" s="9">
        <v>4</v>
      </c>
      <c r="I328" s="10">
        <v>1.0900000000000001</v>
      </c>
      <c r="J328" s="11" t="s">
        <v>241</v>
      </c>
      <c r="K328" s="11" t="s">
        <v>241</v>
      </c>
      <c r="L328" s="11" t="s">
        <v>241</v>
      </c>
      <c r="M328" s="11">
        <v>0.20330000000000001</v>
      </c>
      <c r="N328" s="11">
        <v>0.15659999999999999</v>
      </c>
    </row>
    <row r="329" spans="2:14" ht="15" customHeight="1" x14ac:dyDescent="0.25">
      <c r="B329" s="6" t="s">
        <v>883</v>
      </c>
      <c r="C329" s="7" t="s">
        <v>884</v>
      </c>
      <c r="D329" s="6" t="s">
        <v>240</v>
      </c>
      <c r="E329" s="6" t="s">
        <v>240</v>
      </c>
      <c r="F329" s="8">
        <v>3.3</v>
      </c>
      <c r="G329" s="9">
        <v>1</v>
      </c>
      <c r="H329" s="9">
        <v>11</v>
      </c>
      <c r="I329" s="10">
        <v>0.83</v>
      </c>
      <c r="J329" s="11" t="s">
        <v>241</v>
      </c>
      <c r="K329" s="11" t="s">
        <v>241</v>
      </c>
      <c r="L329" s="11" t="s">
        <v>241</v>
      </c>
      <c r="M329" s="11">
        <v>0.83389999999999997</v>
      </c>
      <c r="N329" s="11">
        <v>0.26429999999999998</v>
      </c>
    </row>
    <row r="330" spans="2:14" ht="15" customHeight="1" x14ac:dyDescent="0.25">
      <c r="B330" s="6" t="s">
        <v>885</v>
      </c>
      <c r="C330" s="7" t="s">
        <v>886</v>
      </c>
      <c r="D330" s="6" t="s">
        <v>240</v>
      </c>
      <c r="E330" s="6" t="s">
        <v>240</v>
      </c>
      <c r="F330" s="8">
        <v>1.3</v>
      </c>
      <c r="G330" s="9">
        <v>1</v>
      </c>
      <c r="H330" s="9">
        <v>4</v>
      </c>
      <c r="I330" s="10">
        <v>0.92</v>
      </c>
      <c r="J330" s="11" t="s">
        <v>241</v>
      </c>
      <c r="K330" s="11" t="s">
        <v>241</v>
      </c>
      <c r="L330" s="11" t="s">
        <v>241</v>
      </c>
      <c r="M330" s="11">
        <v>0.23499999999999999</v>
      </c>
      <c r="N330" s="11">
        <v>0.17560000000000001</v>
      </c>
    </row>
    <row r="331" spans="2:14" ht="15" customHeight="1" x14ac:dyDescent="0.25">
      <c r="B331" s="6" t="s">
        <v>887</v>
      </c>
      <c r="C331" s="7" t="s">
        <v>888</v>
      </c>
      <c r="D331" s="6" t="s">
        <v>240</v>
      </c>
      <c r="E331" s="6" t="s">
        <v>240</v>
      </c>
      <c r="F331" s="8">
        <v>6.3</v>
      </c>
      <c r="G331" s="9">
        <v>2</v>
      </c>
      <c r="H331" s="9">
        <v>19</v>
      </c>
      <c r="I331" s="10">
        <v>1.61</v>
      </c>
      <c r="J331" s="11" t="s">
        <v>241</v>
      </c>
      <c r="K331" s="11">
        <v>0</v>
      </c>
      <c r="L331" s="11">
        <v>0.86229999999999996</v>
      </c>
      <c r="M331" s="11">
        <v>1.7245999999999999</v>
      </c>
      <c r="N331" s="11">
        <v>0.23469999999999999</v>
      </c>
    </row>
    <row r="332" spans="2:14" ht="15" customHeight="1" x14ac:dyDescent="0.25">
      <c r="B332" s="6" t="s">
        <v>889</v>
      </c>
      <c r="C332" s="7" t="s">
        <v>890</v>
      </c>
      <c r="D332" s="6" t="s">
        <v>290</v>
      </c>
      <c r="E332" s="6" t="s">
        <v>240</v>
      </c>
      <c r="F332" s="8">
        <v>3</v>
      </c>
      <c r="G332" s="9">
        <v>1</v>
      </c>
      <c r="H332" s="9">
        <v>9</v>
      </c>
      <c r="I332" s="10">
        <v>1.65</v>
      </c>
      <c r="J332" s="11">
        <v>0.17330000000000001</v>
      </c>
      <c r="K332" s="11" t="s">
        <v>241</v>
      </c>
      <c r="L332" s="11" t="s">
        <v>241</v>
      </c>
      <c r="M332" s="11">
        <v>0.7429</v>
      </c>
      <c r="N332" s="11">
        <v>0.2203</v>
      </c>
    </row>
    <row r="333" spans="2:14" ht="15" customHeight="1" x14ac:dyDescent="0.25">
      <c r="B333" s="6" t="s">
        <v>891</v>
      </c>
      <c r="C333" s="7" t="s">
        <v>892</v>
      </c>
      <c r="D333" s="6" t="s">
        <v>240</v>
      </c>
      <c r="E333" s="6" t="s">
        <v>240</v>
      </c>
      <c r="F333" s="8">
        <v>1.4</v>
      </c>
      <c r="G333" s="9">
        <v>1</v>
      </c>
      <c r="H333" s="9">
        <v>4</v>
      </c>
      <c r="I333" s="10">
        <v>1.4</v>
      </c>
      <c r="J333" s="11" t="s">
        <v>241</v>
      </c>
      <c r="K333" s="11" t="s">
        <v>241</v>
      </c>
      <c r="L333" s="11" t="s">
        <v>241</v>
      </c>
      <c r="M333" s="11">
        <v>0.2712</v>
      </c>
      <c r="N333" s="11">
        <v>0.19850000000000001</v>
      </c>
    </row>
    <row r="334" spans="2:14" ht="15" customHeight="1" x14ac:dyDescent="0.25">
      <c r="B334" s="6" t="s">
        <v>893</v>
      </c>
      <c r="C334" s="7" t="s">
        <v>894</v>
      </c>
      <c r="D334" s="6" t="s">
        <v>240</v>
      </c>
      <c r="E334" s="6" t="s">
        <v>240</v>
      </c>
      <c r="F334" s="8">
        <v>18.899999999999999</v>
      </c>
      <c r="G334" s="9">
        <v>6</v>
      </c>
      <c r="H334" s="9">
        <v>55</v>
      </c>
      <c r="I334" s="10">
        <v>1</v>
      </c>
      <c r="J334" s="11" t="s">
        <v>241</v>
      </c>
      <c r="K334" s="11">
        <v>2.7467999999999999</v>
      </c>
      <c r="L334" s="11">
        <v>1.2547999999999999</v>
      </c>
      <c r="M334" s="11">
        <v>10.2758</v>
      </c>
      <c r="N334" s="11">
        <v>0.27589999999999998</v>
      </c>
    </row>
    <row r="335" spans="2:14" ht="15" customHeight="1" x14ac:dyDescent="0.25">
      <c r="B335" s="6" t="s">
        <v>895</v>
      </c>
      <c r="C335" s="7" t="s">
        <v>896</v>
      </c>
      <c r="D335" s="6" t="s">
        <v>240</v>
      </c>
      <c r="E335" s="6" t="s">
        <v>240</v>
      </c>
      <c r="F335" s="8">
        <v>7.6</v>
      </c>
      <c r="G335" s="9">
        <v>2</v>
      </c>
      <c r="H335" s="9">
        <v>21</v>
      </c>
      <c r="I335" s="10">
        <v>1</v>
      </c>
      <c r="J335" s="11" t="s">
        <v>241</v>
      </c>
      <c r="K335" s="11">
        <v>1.2441</v>
      </c>
      <c r="L335" s="11">
        <v>1.9682999999999999</v>
      </c>
      <c r="M335" s="11">
        <v>5.1806999999999999</v>
      </c>
      <c r="N335" s="11">
        <v>0.26829999999999998</v>
      </c>
    </row>
    <row r="336" spans="2:14" ht="15" customHeight="1" x14ac:dyDescent="0.25">
      <c r="B336" s="6" t="s">
        <v>897</v>
      </c>
      <c r="C336" s="7" t="s">
        <v>898</v>
      </c>
      <c r="D336" s="6" t="s">
        <v>240</v>
      </c>
      <c r="E336" s="6" t="s">
        <v>240</v>
      </c>
      <c r="F336" s="8">
        <v>3.3</v>
      </c>
      <c r="G336" s="9">
        <v>1</v>
      </c>
      <c r="H336" s="9">
        <v>9</v>
      </c>
      <c r="I336" s="10">
        <v>1</v>
      </c>
      <c r="J336" s="11" t="s">
        <v>241</v>
      </c>
      <c r="K336" s="11" t="s">
        <v>241</v>
      </c>
      <c r="L336" s="11" t="s">
        <v>241</v>
      </c>
      <c r="M336" s="11">
        <v>2.3563999999999998</v>
      </c>
      <c r="N336" s="11">
        <v>0.37569999999999998</v>
      </c>
    </row>
    <row r="337" spans="2:14" ht="15" customHeight="1" x14ac:dyDescent="0.25">
      <c r="B337" s="6" t="s">
        <v>899</v>
      </c>
      <c r="C337" s="7" t="s">
        <v>900</v>
      </c>
      <c r="D337" s="6" t="s">
        <v>240</v>
      </c>
      <c r="E337" s="6" t="s">
        <v>240</v>
      </c>
      <c r="F337" s="8">
        <v>20.3</v>
      </c>
      <c r="G337" s="9">
        <v>6</v>
      </c>
      <c r="H337" s="9">
        <v>62</v>
      </c>
      <c r="I337" s="10">
        <v>0.95</v>
      </c>
      <c r="J337" s="11" t="s">
        <v>241</v>
      </c>
      <c r="K337" s="11">
        <v>1.0978000000000001</v>
      </c>
      <c r="L337" s="11">
        <v>1.2657</v>
      </c>
      <c r="M337" s="11">
        <v>8.6920999999999999</v>
      </c>
      <c r="N337" s="11">
        <v>0.26479999999999998</v>
      </c>
    </row>
    <row r="338" spans="2:14" ht="15" customHeight="1" x14ac:dyDescent="0.25">
      <c r="B338" s="6" t="s">
        <v>901</v>
      </c>
      <c r="C338" s="7" t="s">
        <v>902</v>
      </c>
      <c r="D338" s="6" t="s">
        <v>240</v>
      </c>
      <c r="E338" s="6" t="s">
        <v>240</v>
      </c>
      <c r="F338" s="8">
        <v>12.8</v>
      </c>
      <c r="G338" s="9">
        <v>3</v>
      </c>
      <c r="H338" s="9">
        <v>34</v>
      </c>
      <c r="I338" s="10">
        <v>1</v>
      </c>
      <c r="J338" s="11" t="s">
        <v>241</v>
      </c>
      <c r="K338" s="11">
        <v>0.91090000000000004</v>
      </c>
      <c r="L338" s="11">
        <v>1.4745999999999999</v>
      </c>
      <c r="M338" s="11">
        <v>5.3349000000000002</v>
      </c>
      <c r="N338" s="11">
        <v>0.2417</v>
      </c>
    </row>
    <row r="339" spans="2:14" ht="15" customHeight="1" x14ac:dyDescent="0.25">
      <c r="B339" s="6" t="s">
        <v>903</v>
      </c>
      <c r="C339" s="7" t="s">
        <v>904</v>
      </c>
      <c r="D339" s="6" t="s">
        <v>240</v>
      </c>
      <c r="E339" s="6" t="s">
        <v>240</v>
      </c>
      <c r="F339" s="8">
        <v>5.0999999999999996</v>
      </c>
      <c r="G339" s="9">
        <v>1</v>
      </c>
      <c r="H339" s="9">
        <v>15</v>
      </c>
      <c r="I339" s="10">
        <v>1</v>
      </c>
      <c r="J339" s="11" t="s">
        <v>241</v>
      </c>
      <c r="K339" s="11" t="s">
        <v>241</v>
      </c>
      <c r="L339" s="11" t="s">
        <v>241</v>
      </c>
      <c r="M339" s="11">
        <v>2.3304999999999998</v>
      </c>
      <c r="N339" s="11">
        <v>0.30309999999999998</v>
      </c>
    </row>
    <row r="340" spans="2:14" ht="15" customHeight="1" x14ac:dyDescent="0.25">
      <c r="B340" s="6" t="s">
        <v>905</v>
      </c>
      <c r="C340" s="7" t="s">
        <v>906</v>
      </c>
      <c r="D340" s="6" t="s">
        <v>240</v>
      </c>
      <c r="E340" s="6" t="s">
        <v>240</v>
      </c>
      <c r="F340" s="8">
        <v>10.8</v>
      </c>
      <c r="G340" s="9">
        <v>3</v>
      </c>
      <c r="H340" s="9">
        <v>34</v>
      </c>
      <c r="I340" s="10">
        <v>1</v>
      </c>
      <c r="J340" s="11" t="s">
        <v>241</v>
      </c>
      <c r="K340" s="11">
        <v>0.95130000000000003</v>
      </c>
      <c r="L340" s="11">
        <v>1.4444999999999999</v>
      </c>
      <c r="M340" s="11">
        <v>5.2847999999999997</v>
      </c>
      <c r="N340" s="11">
        <v>0.30330000000000001</v>
      </c>
    </row>
    <row r="341" spans="2:14" ht="15" customHeight="1" x14ac:dyDescent="0.25">
      <c r="B341" s="6" t="s">
        <v>907</v>
      </c>
      <c r="C341" s="7" t="s">
        <v>908</v>
      </c>
      <c r="D341" s="6" t="s">
        <v>240</v>
      </c>
      <c r="E341" s="6" t="s">
        <v>240</v>
      </c>
      <c r="F341" s="8">
        <v>4</v>
      </c>
      <c r="G341" s="9">
        <v>1</v>
      </c>
      <c r="H341" s="9">
        <v>12</v>
      </c>
      <c r="I341" s="10">
        <v>1</v>
      </c>
      <c r="J341" s="11" t="s">
        <v>241</v>
      </c>
      <c r="K341" s="11" t="s">
        <v>241</v>
      </c>
      <c r="L341" s="11" t="s">
        <v>241</v>
      </c>
      <c r="M341" s="11">
        <v>2.0560999999999998</v>
      </c>
      <c r="N341" s="11">
        <v>0.32500000000000001</v>
      </c>
    </row>
    <row r="342" spans="2:14" ht="15" customHeight="1" x14ac:dyDescent="0.25">
      <c r="B342" s="6" t="s">
        <v>909</v>
      </c>
      <c r="C342" s="7" t="s">
        <v>910</v>
      </c>
      <c r="D342" s="6" t="s">
        <v>240</v>
      </c>
      <c r="E342" s="6" t="s">
        <v>240</v>
      </c>
      <c r="F342" s="8">
        <v>1.5</v>
      </c>
      <c r="G342" s="9">
        <v>1</v>
      </c>
      <c r="H342" s="9">
        <v>5</v>
      </c>
      <c r="I342" s="10">
        <v>1</v>
      </c>
      <c r="J342" s="11" t="s">
        <v>241</v>
      </c>
      <c r="K342" s="11" t="s">
        <v>241</v>
      </c>
      <c r="L342" s="11" t="s">
        <v>241</v>
      </c>
      <c r="M342" s="11">
        <v>0.7651</v>
      </c>
      <c r="N342" s="11">
        <v>0.3211</v>
      </c>
    </row>
    <row r="343" spans="2:14" ht="15" customHeight="1" x14ac:dyDescent="0.25">
      <c r="B343" s="6" t="s">
        <v>911</v>
      </c>
      <c r="C343" s="7" t="s">
        <v>912</v>
      </c>
      <c r="D343" s="6" t="s">
        <v>240</v>
      </c>
      <c r="E343" s="6" t="s">
        <v>240</v>
      </c>
      <c r="F343" s="8">
        <v>21.2</v>
      </c>
      <c r="G343" s="9">
        <v>6</v>
      </c>
      <c r="H343" s="9">
        <v>63</v>
      </c>
      <c r="I343" s="10">
        <v>1</v>
      </c>
      <c r="J343" s="11" t="s">
        <v>241</v>
      </c>
      <c r="K343" s="11">
        <v>0.67249999999999999</v>
      </c>
      <c r="L343" s="11">
        <v>1.1742999999999999</v>
      </c>
      <c r="M343" s="11">
        <v>7.7186000000000003</v>
      </c>
      <c r="N343" s="11">
        <v>0.26989999999999997</v>
      </c>
    </row>
    <row r="344" spans="2:14" ht="15" customHeight="1" x14ac:dyDescent="0.25">
      <c r="B344" s="6" t="s">
        <v>913</v>
      </c>
      <c r="C344" s="7" t="s">
        <v>914</v>
      </c>
      <c r="D344" s="6" t="s">
        <v>240</v>
      </c>
      <c r="E344" s="6" t="s">
        <v>240</v>
      </c>
      <c r="F344" s="8">
        <v>9.9</v>
      </c>
      <c r="G344" s="9">
        <v>2</v>
      </c>
      <c r="H344" s="9">
        <v>26</v>
      </c>
      <c r="I344" s="10">
        <v>1</v>
      </c>
      <c r="J344" s="11" t="s">
        <v>241</v>
      </c>
      <c r="K344" s="11">
        <v>0.64749999999999996</v>
      </c>
      <c r="L344" s="11">
        <v>1.3581000000000001</v>
      </c>
      <c r="M344" s="11">
        <v>3.3637000000000001</v>
      </c>
      <c r="N344" s="11">
        <v>0.18090000000000001</v>
      </c>
    </row>
    <row r="345" spans="2:14" ht="15" customHeight="1" x14ac:dyDescent="0.25">
      <c r="B345" s="6" t="s">
        <v>915</v>
      </c>
      <c r="C345" s="7" t="s">
        <v>916</v>
      </c>
      <c r="D345" s="6" t="s">
        <v>240</v>
      </c>
      <c r="E345" s="6" t="s">
        <v>240</v>
      </c>
      <c r="F345" s="8">
        <v>2.2999999999999998</v>
      </c>
      <c r="G345" s="9">
        <v>1</v>
      </c>
      <c r="H345" s="9">
        <v>6</v>
      </c>
      <c r="I345" s="10">
        <v>1</v>
      </c>
      <c r="J345" s="11" t="s">
        <v>241</v>
      </c>
      <c r="K345" s="11" t="s">
        <v>241</v>
      </c>
      <c r="L345" s="11" t="s">
        <v>241</v>
      </c>
      <c r="M345" s="11">
        <v>1.4992000000000001</v>
      </c>
      <c r="N345" s="11">
        <v>0.15959999999999999</v>
      </c>
    </row>
    <row r="346" spans="2:14" ht="15" customHeight="1" x14ac:dyDescent="0.25">
      <c r="B346" s="6" t="s">
        <v>917</v>
      </c>
      <c r="C346" s="7" t="s">
        <v>918</v>
      </c>
      <c r="D346" s="6" t="s">
        <v>240</v>
      </c>
      <c r="E346" s="6" t="s">
        <v>240</v>
      </c>
      <c r="F346" s="8">
        <v>14.2</v>
      </c>
      <c r="G346" s="9">
        <v>4</v>
      </c>
      <c r="H346" s="9">
        <v>37</v>
      </c>
      <c r="I346" s="10">
        <v>1</v>
      </c>
      <c r="J346" s="11" t="s">
        <v>241</v>
      </c>
      <c r="K346" s="11">
        <v>1.4462999999999999</v>
      </c>
      <c r="L346" s="11">
        <v>1.1976</v>
      </c>
      <c r="M346" s="11">
        <v>6.2366999999999999</v>
      </c>
      <c r="N346" s="11">
        <v>0.2858</v>
      </c>
    </row>
    <row r="347" spans="2:14" ht="15" customHeight="1" x14ac:dyDescent="0.25">
      <c r="B347" s="6" t="s">
        <v>919</v>
      </c>
      <c r="C347" s="7" t="s">
        <v>920</v>
      </c>
      <c r="D347" s="6" t="s">
        <v>240</v>
      </c>
      <c r="E347" s="6" t="s">
        <v>240</v>
      </c>
      <c r="F347" s="8">
        <v>6.7</v>
      </c>
      <c r="G347" s="9">
        <v>2</v>
      </c>
      <c r="H347" s="9">
        <v>20</v>
      </c>
      <c r="I347" s="10">
        <v>1</v>
      </c>
      <c r="J347" s="11" t="s">
        <v>241</v>
      </c>
      <c r="K347" s="11">
        <v>1.3098000000000001</v>
      </c>
      <c r="L347" s="11">
        <v>1.3303</v>
      </c>
      <c r="M347" s="11">
        <v>3.9704999999999999</v>
      </c>
      <c r="N347" s="11">
        <v>0.31319999999999998</v>
      </c>
    </row>
    <row r="348" spans="2:14" ht="15" customHeight="1" x14ac:dyDescent="0.25">
      <c r="B348" s="6" t="s">
        <v>921</v>
      </c>
      <c r="C348" s="7" t="s">
        <v>922</v>
      </c>
      <c r="D348" s="6" t="s">
        <v>240</v>
      </c>
      <c r="E348" s="6" t="s">
        <v>240</v>
      </c>
      <c r="F348" s="8">
        <v>4.3</v>
      </c>
      <c r="G348" s="9">
        <v>1</v>
      </c>
      <c r="H348" s="9">
        <v>13</v>
      </c>
      <c r="I348" s="10">
        <v>1</v>
      </c>
      <c r="J348" s="11" t="s">
        <v>241</v>
      </c>
      <c r="K348" s="11" t="s">
        <v>241</v>
      </c>
      <c r="L348" s="11" t="s">
        <v>241</v>
      </c>
      <c r="M348" s="11">
        <v>2.5497000000000001</v>
      </c>
      <c r="N348" s="11">
        <v>0.31109999999999999</v>
      </c>
    </row>
    <row r="349" spans="2:14" ht="15" customHeight="1" x14ac:dyDescent="0.25">
      <c r="B349" s="6" t="s">
        <v>923</v>
      </c>
      <c r="C349" s="7" t="s">
        <v>924</v>
      </c>
      <c r="D349" s="6" t="s">
        <v>240</v>
      </c>
      <c r="E349" s="6" t="s">
        <v>240</v>
      </c>
      <c r="F349" s="8">
        <v>6.2</v>
      </c>
      <c r="G349" s="9">
        <v>1</v>
      </c>
      <c r="H349" s="9">
        <v>18</v>
      </c>
      <c r="I349" s="10">
        <v>1</v>
      </c>
      <c r="J349" s="11" t="s">
        <v>241</v>
      </c>
      <c r="K349" s="11" t="s">
        <v>241</v>
      </c>
      <c r="L349" s="11" t="s">
        <v>241</v>
      </c>
      <c r="M349" s="11">
        <v>3.0655000000000001</v>
      </c>
      <c r="N349" s="11">
        <v>0.29270000000000002</v>
      </c>
    </row>
    <row r="350" spans="2:14" ht="15" customHeight="1" x14ac:dyDescent="0.25">
      <c r="B350" s="6" t="s">
        <v>925</v>
      </c>
      <c r="C350" s="7" t="s">
        <v>926</v>
      </c>
      <c r="D350" s="6" t="s">
        <v>240</v>
      </c>
      <c r="E350" s="6" t="s">
        <v>240</v>
      </c>
      <c r="F350" s="8">
        <v>2.2000000000000002</v>
      </c>
      <c r="G350" s="9">
        <v>1</v>
      </c>
      <c r="H350" s="9">
        <v>7</v>
      </c>
      <c r="I350" s="10">
        <v>1.21</v>
      </c>
      <c r="J350" s="11" t="s">
        <v>241</v>
      </c>
      <c r="K350" s="11" t="s">
        <v>241</v>
      </c>
      <c r="L350" s="11" t="s">
        <v>241</v>
      </c>
      <c r="M350" s="11">
        <v>1.677</v>
      </c>
      <c r="N350" s="11">
        <v>0.30009999999999998</v>
      </c>
    </row>
    <row r="351" spans="2:14" ht="15" customHeight="1" x14ac:dyDescent="0.25">
      <c r="B351" s="6" t="s">
        <v>927</v>
      </c>
      <c r="C351" s="7" t="s">
        <v>928</v>
      </c>
      <c r="D351" s="6" t="s">
        <v>240</v>
      </c>
      <c r="E351" s="6" t="s">
        <v>240</v>
      </c>
      <c r="F351" s="8">
        <v>27.8</v>
      </c>
      <c r="G351" s="9">
        <v>9</v>
      </c>
      <c r="H351" s="9">
        <v>83</v>
      </c>
      <c r="I351" s="10">
        <v>1.25</v>
      </c>
      <c r="J351" s="11" t="s">
        <v>241</v>
      </c>
      <c r="K351" s="11">
        <v>5.8602999999999996</v>
      </c>
      <c r="L351" s="11">
        <v>2.5421999999999998</v>
      </c>
      <c r="M351" s="11">
        <v>28.740300000000001</v>
      </c>
      <c r="N351" s="11">
        <v>0.53359999999999996</v>
      </c>
    </row>
    <row r="352" spans="2:14" ht="15" customHeight="1" x14ac:dyDescent="0.25">
      <c r="B352" s="6" t="s">
        <v>929</v>
      </c>
      <c r="C352" s="7" t="s">
        <v>930</v>
      </c>
      <c r="D352" s="6" t="s">
        <v>240</v>
      </c>
      <c r="E352" s="6" t="s">
        <v>240</v>
      </c>
      <c r="F352" s="8">
        <v>14.3</v>
      </c>
      <c r="G352" s="9">
        <v>4</v>
      </c>
      <c r="H352" s="9">
        <v>42</v>
      </c>
      <c r="I352" s="10">
        <v>1</v>
      </c>
      <c r="J352" s="11" t="s">
        <v>241</v>
      </c>
      <c r="K352" s="11">
        <v>0</v>
      </c>
      <c r="L352" s="11">
        <v>1.1346000000000001</v>
      </c>
      <c r="M352" s="11">
        <v>4.5382999999999996</v>
      </c>
      <c r="N352" s="11">
        <v>0.2576</v>
      </c>
    </row>
    <row r="353" spans="2:14" ht="15" customHeight="1" x14ac:dyDescent="0.25">
      <c r="B353" s="6" t="s">
        <v>931</v>
      </c>
      <c r="C353" s="7" t="s">
        <v>932</v>
      </c>
      <c r="D353" s="6" t="s">
        <v>240</v>
      </c>
      <c r="E353" s="6" t="s">
        <v>240</v>
      </c>
      <c r="F353" s="8">
        <v>6.6</v>
      </c>
      <c r="G353" s="9">
        <v>2</v>
      </c>
      <c r="H353" s="9">
        <v>19</v>
      </c>
      <c r="I353" s="10">
        <v>1</v>
      </c>
      <c r="J353" s="11" t="s">
        <v>241</v>
      </c>
      <c r="K353" s="11">
        <v>0</v>
      </c>
      <c r="L353" s="11">
        <v>0.95440000000000003</v>
      </c>
      <c r="M353" s="11">
        <v>1.9089</v>
      </c>
      <c r="N353" s="11">
        <v>0.23080000000000001</v>
      </c>
    </row>
    <row r="354" spans="2:14" ht="15" customHeight="1" x14ac:dyDescent="0.25">
      <c r="B354" s="6" t="s">
        <v>933</v>
      </c>
      <c r="C354" s="7" t="s">
        <v>934</v>
      </c>
      <c r="D354" s="6" t="s">
        <v>290</v>
      </c>
      <c r="E354" s="6" t="s">
        <v>240</v>
      </c>
      <c r="F354" s="8">
        <v>3.5</v>
      </c>
      <c r="G354" s="9">
        <v>1</v>
      </c>
      <c r="H354" s="9">
        <v>10</v>
      </c>
      <c r="I354" s="10">
        <v>1</v>
      </c>
      <c r="J354" s="11">
        <v>0.22800000000000001</v>
      </c>
      <c r="K354" s="11" t="s">
        <v>241</v>
      </c>
      <c r="L354" s="11" t="s">
        <v>241</v>
      </c>
      <c r="M354" s="11">
        <v>0.95220000000000005</v>
      </c>
      <c r="N354" s="11">
        <v>0.21609999999999999</v>
      </c>
    </row>
    <row r="355" spans="2:14" ht="15" customHeight="1" x14ac:dyDescent="0.25">
      <c r="B355" s="6" t="s">
        <v>935</v>
      </c>
      <c r="C355" s="7" t="s">
        <v>936</v>
      </c>
      <c r="D355" s="6" t="s">
        <v>240</v>
      </c>
      <c r="E355" s="6" t="s">
        <v>240</v>
      </c>
      <c r="F355" s="8">
        <v>8.1</v>
      </c>
      <c r="G355" s="9">
        <v>2</v>
      </c>
      <c r="H355" s="9">
        <v>26</v>
      </c>
      <c r="I355" s="10">
        <v>1</v>
      </c>
      <c r="J355" s="11" t="s">
        <v>241</v>
      </c>
      <c r="K355" s="11">
        <v>0.1885</v>
      </c>
      <c r="L355" s="11">
        <v>1.1717</v>
      </c>
      <c r="M355" s="11">
        <v>2.5318999999999998</v>
      </c>
      <c r="N355" s="11">
        <v>0.25169999999999998</v>
      </c>
    </row>
    <row r="356" spans="2:14" ht="15" customHeight="1" x14ac:dyDescent="0.25">
      <c r="B356" s="6" t="s">
        <v>937</v>
      </c>
      <c r="C356" s="7" t="s">
        <v>938</v>
      </c>
      <c r="D356" s="6" t="s">
        <v>290</v>
      </c>
      <c r="E356" s="6" t="s">
        <v>240</v>
      </c>
      <c r="F356" s="8">
        <v>3.6</v>
      </c>
      <c r="G356" s="9">
        <v>1</v>
      </c>
      <c r="H356" s="9">
        <v>12</v>
      </c>
      <c r="I356" s="10">
        <v>1.48</v>
      </c>
      <c r="J356" s="11">
        <v>0.39529999999999998</v>
      </c>
      <c r="K356" s="11" t="s">
        <v>241</v>
      </c>
      <c r="L356" s="11" t="s">
        <v>241</v>
      </c>
      <c r="M356" s="11">
        <v>1.0633999999999999</v>
      </c>
      <c r="N356" s="11">
        <v>0.24099999999999999</v>
      </c>
    </row>
    <row r="357" spans="2:14" ht="15" customHeight="1" x14ac:dyDescent="0.25">
      <c r="B357" s="6" t="s">
        <v>939</v>
      </c>
      <c r="C357" s="7" t="s">
        <v>940</v>
      </c>
      <c r="D357" s="6" t="s">
        <v>240</v>
      </c>
      <c r="E357" s="6" t="s">
        <v>240</v>
      </c>
      <c r="F357" s="8">
        <v>6.9</v>
      </c>
      <c r="G357" s="9">
        <v>2</v>
      </c>
      <c r="H357" s="9">
        <v>21</v>
      </c>
      <c r="I357" s="10">
        <v>1.68</v>
      </c>
      <c r="J357" s="11" t="s">
        <v>241</v>
      </c>
      <c r="K357" s="11">
        <v>0</v>
      </c>
      <c r="L357" s="11">
        <v>1.0886</v>
      </c>
      <c r="M357" s="11">
        <v>2.1772999999999998</v>
      </c>
      <c r="N357" s="11">
        <v>0.28120000000000001</v>
      </c>
    </row>
    <row r="358" spans="2:14" ht="15" customHeight="1" x14ac:dyDescent="0.25">
      <c r="B358" s="6" t="s">
        <v>941</v>
      </c>
      <c r="C358" s="7" t="s">
        <v>942</v>
      </c>
      <c r="D358" s="6" t="s">
        <v>290</v>
      </c>
      <c r="E358" s="6" t="s">
        <v>240</v>
      </c>
      <c r="F358" s="8">
        <v>3</v>
      </c>
      <c r="G358" s="9">
        <v>1</v>
      </c>
      <c r="H358" s="9">
        <v>9</v>
      </c>
      <c r="I358" s="10">
        <v>1.72</v>
      </c>
      <c r="J358" s="11">
        <v>0.28739999999999999</v>
      </c>
      <c r="K358" s="11" t="s">
        <v>241</v>
      </c>
      <c r="L358" s="11" t="s">
        <v>241</v>
      </c>
      <c r="M358" s="11">
        <v>0.79869999999999997</v>
      </c>
      <c r="N358" s="11">
        <v>0.2346</v>
      </c>
    </row>
    <row r="359" spans="2:14" ht="15" customHeight="1" x14ac:dyDescent="0.25">
      <c r="B359" s="6" t="s">
        <v>943</v>
      </c>
      <c r="C359" s="7" t="s">
        <v>944</v>
      </c>
      <c r="D359" s="6" t="s">
        <v>240</v>
      </c>
      <c r="E359" s="6" t="s">
        <v>240</v>
      </c>
      <c r="F359" s="8">
        <v>9.1999999999999993</v>
      </c>
      <c r="G359" s="9">
        <v>3</v>
      </c>
      <c r="H359" s="9">
        <v>30</v>
      </c>
      <c r="I359" s="10">
        <v>1.54</v>
      </c>
      <c r="J359" s="11" t="s">
        <v>241</v>
      </c>
      <c r="K359" s="11">
        <v>0</v>
      </c>
      <c r="L359" s="11">
        <v>0.9788</v>
      </c>
      <c r="M359" s="11">
        <v>2.9363000000000001</v>
      </c>
      <c r="N359" s="11">
        <v>0.24729999999999999</v>
      </c>
    </row>
    <row r="360" spans="2:14" ht="15" customHeight="1" x14ac:dyDescent="0.25">
      <c r="B360" s="6" t="s">
        <v>945</v>
      </c>
      <c r="C360" s="7" t="s">
        <v>946</v>
      </c>
      <c r="D360" s="6" t="s">
        <v>290</v>
      </c>
      <c r="E360" s="6" t="s">
        <v>240</v>
      </c>
      <c r="F360" s="8">
        <v>4.5</v>
      </c>
      <c r="G360" s="9">
        <v>1</v>
      </c>
      <c r="H360" s="9">
        <v>13</v>
      </c>
      <c r="I360" s="10">
        <v>1.46</v>
      </c>
      <c r="J360" s="11">
        <v>0.33429999999999999</v>
      </c>
      <c r="K360" s="11" t="s">
        <v>241</v>
      </c>
      <c r="L360" s="11" t="s">
        <v>241</v>
      </c>
      <c r="M360" s="11">
        <v>1.2477</v>
      </c>
      <c r="N360" s="11">
        <v>0.2235</v>
      </c>
    </row>
    <row r="361" spans="2:14" ht="15" customHeight="1" x14ac:dyDescent="0.25">
      <c r="B361" s="6" t="s">
        <v>947</v>
      </c>
      <c r="C361" s="7" t="s">
        <v>948</v>
      </c>
      <c r="D361" s="6" t="s">
        <v>290</v>
      </c>
      <c r="E361" s="6" t="s">
        <v>240</v>
      </c>
      <c r="F361" s="8">
        <v>3</v>
      </c>
      <c r="G361" s="9">
        <v>1</v>
      </c>
      <c r="H361" s="9">
        <v>8</v>
      </c>
      <c r="I361" s="10">
        <v>1.43</v>
      </c>
      <c r="J361" s="11">
        <v>0.30719999999999997</v>
      </c>
      <c r="K361" s="11" t="s">
        <v>241</v>
      </c>
      <c r="L361" s="11" t="s">
        <v>241</v>
      </c>
      <c r="M361" s="11">
        <v>0.81389999999999996</v>
      </c>
      <c r="N361" s="11">
        <v>0.18129999999999999</v>
      </c>
    </row>
    <row r="362" spans="2:14" ht="15" customHeight="1" x14ac:dyDescent="0.25">
      <c r="B362" s="6" t="s">
        <v>949</v>
      </c>
      <c r="C362" s="7" t="s">
        <v>950</v>
      </c>
      <c r="D362" s="6" t="s">
        <v>240</v>
      </c>
      <c r="E362" s="6" t="s">
        <v>240</v>
      </c>
      <c r="F362" s="8">
        <v>6.5</v>
      </c>
      <c r="G362" s="9">
        <v>2</v>
      </c>
      <c r="H362" s="9">
        <v>20</v>
      </c>
      <c r="I362" s="10">
        <v>1.24</v>
      </c>
      <c r="J362" s="11" t="s">
        <v>241</v>
      </c>
      <c r="K362" s="11">
        <v>0.19040000000000001</v>
      </c>
      <c r="L362" s="11">
        <v>0.92679999999999996</v>
      </c>
      <c r="M362" s="11">
        <v>2.0440999999999998</v>
      </c>
      <c r="N362" s="11">
        <v>0.2397</v>
      </c>
    </row>
    <row r="363" spans="2:14" ht="15" customHeight="1" x14ac:dyDescent="0.25">
      <c r="B363" s="6" t="s">
        <v>951</v>
      </c>
      <c r="C363" s="7" t="s">
        <v>952</v>
      </c>
      <c r="D363" s="6" t="s">
        <v>290</v>
      </c>
      <c r="E363" s="6" t="s">
        <v>240</v>
      </c>
      <c r="F363" s="8">
        <v>2.8</v>
      </c>
      <c r="G363" s="9">
        <v>1</v>
      </c>
      <c r="H363" s="9">
        <v>8</v>
      </c>
      <c r="I363" s="10">
        <v>1.5</v>
      </c>
      <c r="J363" s="11">
        <v>0.30890000000000001</v>
      </c>
      <c r="K363" s="11" t="s">
        <v>241</v>
      </c>
      <c r="L363" s="11" t="s">
        <v>241</v>
      </c>
      <c r="M363" s="11">
        <v>0.81689999999999996</v>
      </c>
      <c r="N363" s="11">
        <v>0.23069999999999999</v>
      </c>
    </row>
    <row r="364" spans="2:14" ht="15" customHeight="1" x14ac:dyDescent="0.25">
      <c r="B364" s="6" t="s">
        <v>953</v>
      </c>
      <c r="C364" s="7" t="s">
        <v>954</v>
      </c>
      <c r="D364" s="6" t="s">
        <v>240</v>
      </c>
      <c r="E364" s="6" t="s">
        <v>240</v>
      </c>
      <c r="F364" s="8">
        <v>12.3</v>
      </c>
      <c r="G364" s="9">
        <v>3</v>
      </c>
      <c r="H364" s="9">
        <v>34</v>
      </c>
      <c r="I364" s="10">
        <v>1</v>
      </c>
      <c r="J364" s="11" t="s">
        <v>241</v>
      </c>
      <c r="K364" s="11">
        <v>0.50619999999999998</v>
      </c>
      <c r="L364" s="11">
        <v>1.3420000000000001</v>
      </c>
      <c r="M364" s="11">
        <v>4.5321999999999996</v>
      </c>
      <c r="N364" s="11">
        <v>0.2324</v>
      </c>
    </row>
    <row r="365" spans="2:14" ht="15" customHeight="1" x14ac:dyDescent="0.25">
      <c r="B365" s="6" t="s">
        <v>955</v>
      </c>
      <c r="C365" s="7" t="s">
        <v>956</v>
      </c>
      <c r="D365" s="6" t="s">
        <v>240</v>
      </c>
      <c r="E365" s="6" t="s">
        <v>240</v>
      </c>
      <c r="F365" s="8">
        <v>5.8</v>
      </c>
      <c r="G365" s="9">
        <v>1</v>
      </c>
      <c r="H365" s="9">
        <v>17</v>
      </c>
      <c r="I365" s="10">
        <v>1</v>
      </c>
      <c r="J365" s="11" t="s">
        <v>241</v>
      </c>
      <c r="K365" s="11" t="s">
        <v>241</v>
      </c>
      <c r="L365" s="11" t="s">
        <v>241</v>
      </c>
      <c r="M365" s="11">
        <v>2.3182</v>
      </c>
      <c r="N365" s="11">
        <v>0.25950000000000001</v>
      </c>
    </row>
    <row r="366" spans="2:14" ht="15" customHeight="1" x14ac:dyDescent="0.25">
      <c r="B366" s="6" t="s">
        <v>957</v>
      </c>
      <c r="C366" s="7" t="s">
        <v>958</v>
      </c>
      <c r="D366" s="6" t="s">
        <v>240</v>
      </c>
      <c r="E366" s="6" t="s">
        <v>240</v>
      </c>
      <c r="F366" s="8">
        <v>3.1</v>
      </c>
      <c r="G366" s="9">
        <v>1</v>
      </c>
      <c r="H366" s="9">
        <v>8</v>
      </c>
      <c r="I366" s="10">
        <v>1</v>
      </c>
      <c r="J366" s="11" t="s">
        <v>241</v>
      </c>
      <c r="K366" s="11" t="s">
        <v>241</v>
      </c>
      <c r="L366" s="11" t="s">
        <v>241</v>
      </c>
      <c r="M366" s="11">
        <v>1.2033</v>
      </c>
      <c r="N366" s="11">
        <v>0.29160000000000003</v>
      </c>
    </row>
    <row r="367" spans="2:14" ht="15" customHeight="1" x14ac:dyDescent="0.25">
      <c r="B367" s="6" t="s">
        <v>959</v>
      </c>
      <c r="C367" s="7" t="s">
        <v>960</v>
      </c>
      <c r="D367" s="6" t="s">
        <v>240</v>
      </c>
      <c r="E367" s="6" t="s">
        <v>240</v>
      </c>
      <c r="F367" s="8">
        <v>26</v>
      </c>
      <c r="G367" s="9">
        <v>7</v>
      </c>
      <c r="H367" s="9">
        <v>63</v>
      </c>
      <c r="I367" s="10">
        <v>1</v>
      </c>
      <c r="J367" s="11" t="s">
        <v>241</v>
      </c>
      <c r="K367" s="11">
        <v>3.2364000000000002</v>
      </c>
      <c r="L367" s="11">
        <v>1.2821</v>
      </c>
      <c r="M367" s="11">
        <v>12.211</v>
      </c>
      <c r="N367" s="11">
        <v>0.25650000000000001</v>
      </c>
    </row>
    <row r="368" spans="2:14" ht="15" customHeight="1" x14ac:dyDescent="0.25">
      <c r="B368" s="6" t="s">
        <v>961</v>
      </c>
      <c r="C368" s="7" t="s">
        <v>962</v>
      </c>
      <c r="D368" s="6" t="s">
        <v>240</v>
      </c>
      <c r="E368" s="6" t="s">
        <v>240</v>
      </c>
      <c r="F368" s="8">
        <v>5.7</v>
      </c>
      <c r="G368" s="9">
        <v>1</v>
      </c>
      <c r="H368" s="9">
        <v>17</v>
      </c>
      <c r="I368" s="10">
        <v>1</v>
      </c>
      <c r="J368" s="11" t="s">
        <v>241</v>
      </c>
      <c r="K368" s="11" t="s">
        <v>241</v>
      </c>
      <c r="L368" s="11" t="s">
        <v>241</v>
      </c>
      <c r="M368" s="11">
        <v>5.5401999999999996</v>
      </c>
      <c r="N368" s="11">
        <v>0.31940000000000002</v>
      </c>
    </row>
    <row r="369" spans="2:14" ht="15" customHeight="1" x14ac:dyDescent="0.25">
      <c r="B369" s="6" t="s">
        <v>963</v>
      </c>
      <c r="C369" s="7" t="s">
        <v>964</v>
      </c>
      <c r="D369" s="6" t="s">
        <v>240</v>
      </c>
      <c r="E369" s="6" t="s">
        <v>240</v>
      </c>
      <c r="F369" s="8">
        <v>38.200000000000003</v>
      </c>
      <c r="G369" s="9">
        <v>25</v>
      </c>
      <c r="H369" s="9">
        <v>57</v>
      </c>
      <c r="I369" s="10">
        <v>1</v>
      </c>
      <c r="J369" s="11" t="s">
        <v>241</v>
      </c>
      <c r="K369" s="11">
        <v>3.7700999999999998</v>
      </c>
      <c r="L369" s="11">
        <v>0.57420000000000004</v>
      </c>
      <c r="M369" s="11">
        <v>18.124099999999999</v>
      </c>
      <c r="N369" s="11">
        <v>0.2722</v>
      </c>
    </row>
    <row r="370" spans="2:14" ht="15" customHeight="1" x14ac:dyDescent="0.25">
      <c r="B370" s="6" t="s">
        <v>965</v>
      </c>
      <c r="C370" s="7" t="s">
        <v>966</v>
      </c>
      <c r="D370" s="6" t="s">
        <v>240</v>
      </c>
      <c r="E370" s="6" t="s">
        <v>240</v>
      </c>
      <c r="F370" s="8">
        <v>19.7</v>
      </c>
      <c r="G370" s="9">
        <v>7</v>
      </c>
      <c r="H370" s="9">
        <v>64</v>
      </c>
      <c r="I370" s="10">
        <v>1</v>
      </c>
      <c r="J370" s="11" t="s">
        <v>241</v>
      </c>
      <c r="K370" s="11">
        <v>1.3761000000000001</v>
      </c>
      <c r="L370" s="11">
        <v>1.1759999999999999</v>
      </c>
      <c r="M370" s="11">
        <v>9.6081000000000003</v>
      </c>
      <c r="N370" s="11">
        <v>0.28739999999999999</v>
      </c>
    </row>
    <row r="371" spans="2:14" ht="15" customHeight="1" x14ac:dyDescent="0.25">
      <c r="B371" s="6" t="s">
        <v>967</v>
      </c>
      <c r="C371" s="7" t="s">
        <v>968</v>
      </c>
      <c r="D371" s="6" t="s">
        <v>240</v>
      </c>
      <c r="E371" s="6" t="s">
        <v>240</v>
      </c>
      <c r="F371" s="8">
        <v>7.6</v>
      </c>
      <c r="G371" s="9">
        <v>2</v>
      </c>
      <c r="H371" s="9">
        <v>21</v>
      </c>
      <c r="I371" s="10">
        <v>1</v>
      </c>
      <c r="J371" s="11" t="s">
        <v>241</v>
      </c>
      <c r="K371" s="11">
        <v>0.54320000000000002</v>
      </c>
      <c r="L371" s="11">
        <v>1.9557</v>
      </c>
      <c r="M371" s="11">
        <v>4.4546000000000001</v>
      </c>
      <c r="N371" s="11">
        <v>0.3044</v>
      </c>
    </row>
    <row r="372" spans="2:14" ht="15" customHeight="1" x14ac:dyDescent="0.25">
      <c r="B372" s="6" t="s">
        <v>969</v>
      </c>
      <c r="C372" s="7" t="s">
        <v>970</v>
      </c>
      <c r="D372" s="6" t="s">
        <v>240</v>
      </c>
      <c r="E372" s="6" t="s">
        <v>240</v>
      </c>
      <c r="F372" s="8">
        <v>14.4</v>
      </c>
      <c r="G372" s="9">
        <v>4</v>
      </c>
      <c r="H372" s="9">
        <v>39</v>
      </c>
      <c r="I372" s="10">
        <v>1</v>
      </c>
      <c r="J372" s="11" t="s">
        <v>241</v>
      </c>
      <c r="K372" s="11">
        <v>1.7056</v>
      </c>
      <c r="L372" s="11">
        <v>1.0764</v>
      </c>
      <c r="M372" s="11">
        <v>6.0113000000000003</v>
      </c>
      <c r="N372" s="11">
        <v>0.2366</v>
      </c>
    </row>
    <row r="373" spans="2:14" ht="15" customHeight="1" x14ac:dyDescent="0.25">
      <c r="B373" s="6" t="s">
        <v>971</v>
      </c>
      <c r="C373" s="7" t="s">
        <v>972</v>
      </c>
      <c r="D373" s="6" t="s">
        <v>240</v>
      </c>
      <c r="E373" s="6" t="s">
        <v>240</v>
      </c>
      <c r="F373" s="8">
        <v>7.8</v>
      </c>
      <c r="G373" s="9">
        <v>2</v>
      </c>
      <c r="H373" s="9">
        <v>22</v>
      </c>
      <c r="I373" s="10">
        <v>1</v>
      </c>
      <c r="J373" s="11" t="s">
        <v>241</v>
      </c>
      <c r="K373" s="11">
        <v>1.5838000000000001</v>
      </c>
      <c r="L373" s="11">
        <v>1.2206999999999999</v>
      </c>
      <c r="M373" s="11">
        <v>4.0251000000000001</v>
      </c>
      <c r="N373" s="11">
        <v>0.22270000000000001</v>
      </c>
    </row>
    <row r="374" spans="2:14" ht="15" customHeight="1" x14ac:dyDescent="0.25">
      <c r="B374" s="6" t="s">
        <v>973</v>
      </c>
      <c r="C374" s="7" t="s">
        <v>974</v>
      </c>
      <c r="D374" s="6" t="s">
        <v>240</v>
      </c>
      <c r="E374" s="6" t="s">
        <v>240</v>
      </c>
      <c r="F374" s="8">
        <v>6.5</v>
      </c>
      <c r="G374" s="9">
        <v>2</v>
      </c>
      <c r="H374" s="9">
        <v>21</v>
      </c>
      <c r="I374" s="10">
        <v>1</v>
      </c>
      <c r="J374" s="11" t="s">
        <v>241</v>
      </c>
      <c r="K374" s="11">
        <v>1.5833999999999999</v>
      </c>
      <c r="L374" s="11">
        <v>1.3713</v>
      </c>
      <c r="M374" s="11">
        <v>4.3261000000000003</v>
      </c>
      <c r="N374" s="11">
        <v>0.2666</v>
      </c>
    </row>
    <row r="375" spans="2:14" ht="15" customHeight="1" x14ac:dyDescent="0.25">
      <c r="B375" s="6" t="s">
        <v>975</v>
      </c>
      <c r="C375" s="7" t="s">
        <v>976</v>
      </c>
      <c r="D375" s="6" t="s">
        <v>240</v>
      </c>
      <c r="E375" s="6" t="s">
        <v>240</v>
      </c>
      <c r="F375" s="8">
        <v>3.7</v>
      </c>
      <c r="G375" s="9">
        <v>1</v>
      </c>
      <c r="H375" s="9">
        <v>13</v>
      </c>
      <c r="I375" s="10">
        <v>1</v>
      </c>
      <c r="J375" s="11" t="s">
        <v>241</v>
      </c>
      <c r="K375" s="11" t="s">
        <v>241</v>
      </c>
      <c r="L375" s="11" t="s">
        <v>241</v>
      </c>
      <c r="M375" s="11">
        <v>3.3738000000000001</v>
      </c>
      <c r="N375" s="11">
        <v>0.25219999999999998</v>
      </c>
    </row>
    <row r="376" spans="2:14" ht="15" customHeight="1" x14ac:dyDescent="0.25">
      <c r="B376" s="6" t="s">
        <v>977</v>
      </c>
      <c r="C376" s="7" t="s">
        <v>978</v>
      </c>
      <c r="D376" s="6" t="s">
        <v>240</v>
      </c>
      <c r="E376" s="6" t="s">
        <v>240</v>
      </c>
      <c r="F376" s="8">
        <v>9.6</v>
      </c>
      <c r="G376" s="9">
        <v>2</v>
      </c>
      <c r="H376" s="9">
        <v>27</v>
      </c>
      <c r="I376" s="10">
        <v>1</v>
      </c>
      <c r="J376" s="11" t="s">
        <v>241</v>
      </c>
      <c r="K376" s="11">
        <v>2.6659000000000002</v>
      </c>
      <c r="L376" s="11">
        <v>1.5851</v>
      </c>
      <c r="M376" s="11">
        <v>5.8361000000000001</v>
      </c>
      <c r="N376" s="11">
        <v>0.25080000000000002</v>
      </c>
    </row>
    <row r="377" spans="2:14" ht="15" customHeight="1" x14ac:dyDescent="0.25">
      <c r="B377" s="6" t="s">
        <v>979</v>
      </c>
      <c r="C377" s="7" t="s">
        <v>980</v>
      </c>
      <c r="D377" s="6" t="s">
        <v>240</v>
      </c>
      <c r="E377" s="6" t="s">
        <v>240</v>
      </c>
      <c r="F377" s="8">
        <v>2.6</v>
      </c>
      <c r="G377" s="9">
        <v>1</v>
      </c>
      <c r="H377" s="9">
        <v>8</v>
      </c>
      <c r="I377" s="10">
        <v>1</v>
      </c>
      <c r="J377" s="11" t="s">
        <v>241</v>
      </c>
      <c r="K377" s="11" t="s">
        <v>241</v>
      </c>
      <c r="L377" s="11" t="s">
        <v>241</v>
      </c>
      <c r="M377" s="11">
        <v>3.4944000000000002</v>
      </c>
      <c r="N377" s="11">
        <v>0.2321</v>
      </c>
    </row>
    <row r="378" spans="2:14" ht="15" customHeight="1" x14ac:dyDescent="0.25">
      <c r="B378" s="6" t="s">
        <v>981</v>
      </c>
      <c r="C378" s="7" t="s">
        <v>982</v>
      </c>
      <c r="D378" s="6" t="s">
        <v>240</v>
      </c>
      <c r="E378" s="6" t="s">
        <v>240</v>
      </c>
      <c r="F378" s="8">
        <v>7.1</v>
      </c>
      <c r="G378" s="9">
        <v>2</v>
      </c>
      <c r="H378" s="9">
        <v>26</v>
      </c>
      <c r="I378" s="10">
        <v>0.91</v>
      </c>
      <c r="J378" s="11" t="s">
        <v>241</v>
      </c>
      <c r="K378" s="11">
        <v>1.0842000000000001</v>
      </c>
      <c r="L378" s="11">
        <v>4.6326000000000001</v>
      </c>
      <c r="M378" s="11">
        <v>10.349299999999999</v>
      </c>
      <c r="N378" s="11">
        <v>0.53100000000000003</v>
      </c>
    </row>
    <row r="379" spans="2:14" ht="15" customHeight="1" x14ac:dyDescent="0.25">
      <c r="B379" s="6" t="s">
        <v>983</v>
      </c>
      <c r="C379" s="7" t="s">
        <v>984</v>
      </c>
      <c r="D379" s="6" t="s">
        <v>240</v>
      </c>
      <c r="E379" s="6" t="s">
        <v>240</v>
      </c>
      <c r="F379" s="8">
        <v>19.7</v>
      </c>
      <c r="G379" s="9">
        <v>12</v>
      </c>
      <c r="H379" s="9">
        <v>29</v>
      </c>
      <c r="I379" s="10">
        <v>1</v>
      </c>
      <c r="J379" s="11" t="s">
        <v>241</v>
      </c>
      <c r="K379" s="11">
        <v>1.1144000000000001</v>
      </c>
      <c r="L379" s="11">
        <v>0.58140000000000003</v>
      </c>
      <c r="M379" s="11">
        <v>8.0915999999999997</v>
      </c>
      <c r="N379" s="11">
        <v>0.26250000000000001</v>
      </c>
    </row>
    <row r="380" spans="2:14" ht="15" customHeight="1" x14ac:dyDescent="0.25">
      <c r="B380" s="6" t="s">
        <v>985</v>
      </c>
      <c r="C380" s="7" t="s">
        <v>986</v>
      </c>
      <c r="D380" s="6" t="s">
        <v>240</v>
      </c>
      <c r="E380" s="6" t="s">
        <v>240</v>
      </c>
      <c r="F380" s="8">
        <v>15</v>
      </c>
      <c r="G380" s="9">
        <v>4</v>
      </c>
      <c r="H380" s="9">
        <v>42</v>
      </c>
      <c r="I380" s="10">
        <v>1.1200000000000001</v>
      </c>
      <c r="J380" s="11" t="s">
        <v>241</v>
      </c>
      <c r="K380" s="11">
        <v>1.5524</v>
      </c>
      <c r="L380" s="11">
        <v>1.1859</v>
      </c>
      <c r="M380" s="11">
        <v>6.2958999999999996</v>
      </c>
      <c r="N380" s="11">
        <v>0.24199999999999999</v>
      </c>
    </row>
    <row r="381" spans="2:14" ht="15" customHeight="1" x14ac:dyDescent="0.25">
      <c r="B381" s="6" t="s">
        <v>987</v>
      </c>
      <c r="C381" s="7" t="s">
        <v>988</v>
      </c>
      <c r="D381" s="6" t="s">
        <v>240</v>
      </c>
      <c r="E381" s="6" t="s">
        <v>240</v>
      </c>
      <c r="F381" s="8">
        <v>8.9</v>
      </c>
      <c r="G381" s="9">
        <v>2</v>
      </c>
      <c r="H381" s="9">
        <v>27</v>
      </c>
      <c r="I381" s="10">
        <v>1</v>
      </c>
      <c r="J381" s="11" t="s">
        <v>241</v>
      </c>
      <c r="K381" s="11">
        <v>1.1456999999999999</v>
      </c>
      <c r="L381" s="11">
        <v>1.4370000000000001</v>
      </c>
      <c r="M381" s="11">
        <v>4.0197000000000003</v>
      </c>
      <c r="N381" s="11">
        <v>0.2266</v>
      </c>
    </row>
    <row r="382" spans="2:14" ht="15" customHeight="1" x14ac:dyDescent="0.25">
      <c r="B382" s="6" t="s">
        <v>989</v>
      </c>
      <c r="C382" s="7" t="s">
        <v>990</v>
      </c>
      <c r="D382" s="6" t="s">
        <v>240</v>
      </c>
      <c r="E382" s="6" t="s">
        <v>240</v>
      </c>
      <c r="F382" s="8">
        <v>6</v>
      </c>
      <c r="G382" s="9">
        <v>1</v>
      </c>
      <c r="H382" s="9">
        <v>17</v>
      </c>
      <c r="I382" s="10">
        <v>0.91</v>
      </c>
      <c r="J382" s="11" t="s">
        <v>241</v>
      </c>
      <c r="K382" s="11" t="s">
        <v>241</v>
      </c>
      <c r="L382" s="11" t="s">
        <v>241</v>
      </c>
      <c r="M382" s="11">
        <v>2.9049</v>
      </c>
      <c r="N382" s="11">
        <v>0.22270000000000001</v>
      </c>
    </row>
    <row r="383" spans="2:14" ht="15" customHeight="1" x14ac:dyDescent="0.25">
      <c r="B383" s="6" t="s">
        <v>991</v>
      </c>
      <c r="C383" s="7" t="s">
        <v>992</v>
      </c>
      <c r="D383" s="6" t="s">
        <v>240</v>
      </c>
      <c r="E383" s="6" t="s">
        <v>240</v>
      </c>
      <c r="F383" s="8">
        <v>18.600000000000001</v>
      </c>
      <c r="G383" s="9">
        <v>6</v>
      </c>
      <c r="H383" s="9">
        <v>56</v>
      </c>
      <c r="I383" s="10">
        <v>1</v>
      </c>
      <c r="J383" s="11" t="s">
        <v>241</v>
      </c>
      <c r="K383" s="11">
        <v>3.3296000000000001</v>
      </c>
      <c r="L383" s="11">
        <v>1.2781</v>
      </c>
      <c r="M383" s="11">
        <v>10.9984</v>
      </c>
      <c r="N383" s="11">
        <v>0.31419999999999998</v>
      </c>
    </row>
    <row r="384" spans="2:14" ht="15" customHeight="1" x14ac:dyDescent="0.25">
      <c r="B384" s="6" t="s">
        <v>993</v>
      </c>
      <c r="C384" s="7" t="s">
        <v>994</v>
      </c>
      <c r="D384" s="6" t="s">
        <v>240</v>
      </c>
      <c r="E384" s="6" t="s">
        <v>240</v>
      </c>
      <c r="F384" s="8">
        <v>7.4</v>
      </c>
      <c r="G384" s="9">
        <v>2</v>
      </c>
      <c r="H384" s="9">
        <v>22</v>
      </c>
      <c r="I384" s="10">
        <v>1</v>
      </c>
      <c r="J384" s="11" t="s">
        <v>241</v>
      </c>
      <c r="K384" s="11">
        <v>1.9242999999999999</v>
      </c>
      <c r="L384" s="11">
        <v>2.1320999999999999</v>
      </c>
      <c r="M384" s="11">
        <v>6.1886000000000001</v>
      </c>
      <c r="N384" s="11">
        <v>0.3009</v>
      </c>
    </row>
    <row r="385" spans="2:14" ht="15" customHeight="1" x14ac:dyDescent="0.25">
      <c r="B385" s="6" t="s">
        <v>995</v>
      </c>
      <c r="C385" s="7" t="s">
        <v>996</v>
      </c>
      <c r="D385" s="6" t="s">
        <v>240</v>
      </c>
      <c r="E385" s="6" t="s">
        <v>240</v>
      </c>
      <c r="F385" s="8">
        <v>3.9</v>
      </c>
      <c r="G385" s="9">
        <v>1</v>
      </c>
      <c r="H385" s="9">
        <v>12</v>
      </c>
      <c r="I385" s="10">
        <v>1</v>
      </c>
      <c r="J385" s="11" t="s">
        <v>241</v>
      </c>
      <c r="K385" s="11" t="s">
        <v>241</v>
      </c>
      <c r="L385" s="11" t="s">
        <v>241</v>
      </c>
      <c r="M385" s="11">
        <v>4.2266000000000004</v>
      </c>
      <c r="N385" s="11">
        <v>0.37440000000000001</v>
      </c>
    </row>
    <row r="386" spans="2:14" ht="15" customHeight="1" x14ac:dyDescent="0.25">
      <c r="B386" s="6" t="s">
        <v>997</v>
      </c>
      <c r="C386" s="7" t="s">
        <v>998</v>
      </c>
      <c r="D386" s="6" t="s">
        <v>240</v>
      </c>
      <c r="E386" s="6" t="s">
        <v>240</v>
      </c>
      <c r="F386" s="8">
        <v>10</v>
      </c>
      <c r="G386" s="9">
        <v>2</v>
      </c>
      <c r="H386" s="9">
        <v>27</v>
      </c>
      <c r="I386" s="10">
        <v>1</v>
      </c>
      <c r="J386" s="11" t="s">
        <v>241</v>
      </c>
      <c r="K386" s="11">
        <v>1.0958000000000001</v>
      </c>
      <c r="L386" s="11">
        <v>1.8734</v>
      </c>
      <c r="M386" s="11">
        <v>4.8425000000000002</v>
      </c>
      <c r="N386" s="11">
        <v>0.28289999999999998</v>
      </c>
    </row>
    <row r="387" spans="2:14" ht="15" customHeight="1" x14ac:dyDescent="0.25">
      <c r="B387" s="6" t="s">
        <v>999</v>
      </c>
      <c r="C387" s="7" t="s">
        <v>1000</v>
      </c>
      <c r="D387" s="6" t="s">
        <v>240</v>
      </c>
      <c r="E387" s="6" t="s">
        <v>240</v>
      </c>
      <c r="F387" s="8">
        <v>2.6</v>
      </c>
      <c r="G387" s="9">
        <v>1</v>
      </c>
      <c r="H387" s="9">
        <v>9</v>
      </c>
      <c r="I387" s="10">
        <v>1</v>
      </c>
      <c r="J387" s="11" t="s">
        <v>241</v>
      </c>
      <c r="K387" s="11" t="s">
        <v>241</v>
      </c>
      <c r="L387" s="11" t="s">
        <v>241</v>
      </c>
      <c r="M387" s="11">
        <v>2.1496</v>
      </c>
      <c r="N387" s="11">
        <v>0.26569999999999999</v>
      </c>
    </row>
    <row r="388" spans="2:14" ht="15" customHeight="1" x14ac:dyDescent="0.25">
      <c r="B388" s="6" t="s">
        <v>1001</v>
      </c>
      <c r="C388" s="7" t="s">
        <v>1002</v>
      </c>
      <c r="D388" s="6" t="s">
        <v>240</v>
      </c>
      <c r="E388" s="6" t="s">
        <v>240</v>
      </c>
      <c r="F388" s="8">
        <v>3.7</v>
      </c>
      <c r="G388" s="9">
        <v>1</v>
      </c>
      <c r="H388" s="9">
        <v>13</v>
      </c>
      <c r="I388" s="10">
        <v>1.51</v>
      </c>
      <c r="J388" s="11" t="s">
        <v>241</v>
      </c>
      <c r="K388" s="11" t="s">
        <v>241</v>
      </c>
      <c r="L388" s="11" t="s">
        <v>241</v>
      </c>
      <c r="M388" s="11">
        <v>3.0691999999999999</v>
      </c>
      <c r="N388" s="11">
        <v>0.5141</v>
      </c>
    </row>
    <row r="389" spans="2:14" ht="15" customHeight="1" x14ac:dyDescent="0.25">
      <c r="B389" s="6" t="s">
        <v>1003</v>
      </c>
      <c r="C389" s="7" t="s">
        <v>1004</v>
      </c>
      <c r="D389" s="6" t="s">
        <v>240</v>
      </c>
      <c r="E389" s="6" t="s">
        <v>240</v>
      </c>
      <c r="F389" s="8">
        <v>22.9</v>
      </c>
      <c r="G389" s="9">
        <v>14</v>
      </c>
      <c r="H389" s="9">
        <v>33</v>
      </c>
      <c r="I389" s="10">
        <v>1.22</v>
      </c>
      <c r="J389" s="11" t="s">
        <v>241</v>
      </c>
      <c r="K389" s="11">
        <v>0.8226</v>
      </c>
      <c r="L389" s="11">
        <v>0.48520000000000002</v>
      </c>
      <c r="M389" s="11">
        <v>7.6158000000000001</v>
      </c>
      <c r="N389" s="11">
        <v>0.2286</v>
      </c>
    </row>
    <row r="390" spans="2:14" ht="15" customHeight="1" x14ac:dyDescent="0.25">
      <c r="B390" s="6" t="s">
        <v>1005</v>
      </c>
      <c r="C390" s="7" t="s">
        <v>1006</v>
      </c>
      <c r="D390" s="6" t="s">
        <v>240</v>
      </c>
      <c r="E390" s="6" t="s">
        <v>240</v>
      </c>
      <c r="F390" s="8">
        <v>12.7</v>
      </c>
      <c r="G390" s="9">
        <v>4</v>
      </c>
      <c r="H390" s="9">
        <v>37</v>
      </c>
      <c r="I390" s="10">
        <v>1</v>
      </c>
      <c r="J390" s="11" t="s">
        <v>241</v>
      </c>
      <c r="K390" s="11">
        <v>0.62039999999999995</v>
      </c>
      <c r="L390" s="11">
        <v>0.88939999999999997</v>
      </c>
      <c r="M390" s="11">
        <v>4.1782000000000004</v>
      </c>
      <c r="N390" s="11">
        <v>0.17979999999999999</v>
      </c>
    </row>
    <row r="391" spans="2:14" ht="15" customHeight="1" x14ac:dyDescent="0.25">
      <c r="B391" s="6" t="s">
        <v>1007</v>
      </c>
      <c r="C391" s="7" t="s">
        <v>1008</v>
      </c>
      <c r="D391" s="6" t="s">
        <v>240</v>
      </c>
      <c r="E391" s="6" t="s">
        <v>240</v>
      </c>
      <c r="F391" s="8">
        <v>5.7</v>
      </c>
      <c r="G391" s="9">
        <v>1</v>
      </c>
      <c r="H391" s="9">
        <v>17</v>
      </c>
      <c r="I391" s="10">
        <v>1.29</v>
      </c>
      <c r="J391" s="11" t="s">
        <v>241</v>
      </c>
      <c r="K391" s="11" t="s">
        <v>241</v>
      </c>
      <c r="L391" s="11" t="s">
        <v>241</v>
      </c>
      <c r="M391" s="11">
        <v>1.8148</v>
      </c>
      <c r="N391" s="11">
        <v>0.191</v>
      </c>
    </row>
    <row r="392" spans="2:14" ht="15" customHeight="1" x14ac:dyDescent="0.25">
      <c r="B392" s="6" t="s">
        <v>1009</v>
      </c>
      <c r="C392" s="7" t="s">
        <v>1010</v>
      </c>
      <c r="D392" s="6" t="s">
        <v>240</v>
      </c>
      <c r="E392" s="6" t="s">
        <v>240</v>
      </c>
      <c r="F392" s="8">
        <v>12.6</v>
      </c>
      <c r="G392" s="9">
        <v>4</v>
      </c>
      <c r="H392" s="9">
        <v>38</v>
      </c>
      <c r="I392" s="10">
        <v>1</v>
      </c>
      <c r="J392" s="11" t="s">
        <v>241</v>
      </c>
      <c r="K392" s="11">
        <v>1.3827</v>
      </c>
      <c r="L392" s="11">
        <v>1.0838000000000001</v>
      </c>
      <c r="M392" s="11">
        <v>5.7178000000000004</v>
      </c>
      <c r="N392" s="11">
        <v>0.25040000000000001</v>
      </c>
    </row>
    <row r="393" spans="2:14" ht="15" customHeight="1" x14ac:dyDescent="0.25">
      <c r="B393" s="6" t="s">
        <v>1011</v>
      </c>
      <c r="C393" s="7" t="s">
        <v>1012</v>
      </c>
      <c r="D393" s="6" t="s">
        <v>240</v>
      </c>
      <c r="E393" s="6" t="s">
        <v>240</v>
      </c>
      <c r="F393" s="8">
        <v>5.2</v>
      </c>
      <c r="G393" s="9">
        <v>1</v>
      </c>
      <c r="H393" s="9">
        <v>15</v>
      </c>
      <c r="I393" s="10">
        <v>0.95</v>
      </c>
      <c r="J393" s="11" t="s">
        <v>241</v>
      </c>
      <c r="K393" s="11" t="s">
        <v>241</v>
      </c>
      <c r="L393" s="11" t="s">
        <v>241</v>
      </c>
      <c r="M393" s="11">
        <v>2.8658000000000001</v>
      </c>
      <c r="N393" s="11">
        <v>0.28249999999999997</v>
      </c>
    </row>
    <row r="394" spans="2:14" ht="15" customHeight="1" x14ac:dyDescent="0.25">
      <c r="B394" s="6" t="s">
        <v>1013</v>
      </c>
      <c r="C394" s="7" t="s">
        <v>1014</v>
      </c>
      <c r="D394" s="6" t="s">
        <v>240</v>
      </c>
      <c r="E394" s="6" t="s">
        <v>240</v>
      </c>
      <c r="F394" s="8">
        <v>2.2999999999999998</v>
      </c>
      <c r="G394" s="9">
        <v>1</v>
      </c>
      <c r="H394" s="9">
        <v>7</v>
      </c>
      <c r="I394" s="10">
        <v>0.8</v>
      </c>
      <c r="J394" s="11" t="s">
        <v>241</v>
      </c>
      <c r="K394" s="11" t="s">
        <v>241</v>
      </c>
      <c r="L394" s="11" t="s">
        <v>241</v>
      </c>
      <c r="M394" s="11">
        <v>1.8110999999999999</v>
      </c>
      <c r="N394" s="11">
        <v>0.31580000000000003</v>
      </c>
    </row>
    <row r="395" spans="2:14" ht="15" customHeight="1" x14ac:dyDescent="0.25">
      <c r="B395" s="6" t="s">
        <v>1015</v>
      </c>
      <c r="C395" s="7" t="s">
        <v>1016</v>
      </c>
      <c r="D395" s="6" t="s">
        <v>240</v>
      </c>
      <c r="E395" s="6" t="s">
        <v>240</v>
      </c>
      <c r="F395" s="8">
        <v>4.5</v>
      </c>
      <c r="G395" s="9">
        <v>1</v>
      </c>
      <c r="H395" s="9">
        <v>14</v>
      </c>
      <c r="I395" s="10">
        <v>1.49</v>
      </c>
      <c r="J395" s="11" t="s">
        <v>241</v>
      </c>
      <c r="K395" s="11" t="s">
        <v>241</v>
      </c>
      <c r="L395" s="11" t="s">
        <v>241</v>
      </c>
      <c r="M395" s="11">
        <v>3.3353999999999999</v>
      </c>
      <c r="N395" s="11">
        <v>0.30309999999999998</v>
      </c>
    </row>
    <row r="396" spans="2:14" ht="15" customHeight="1" x14ac:dyDescent="0.25">
      <c r="B396" s="6" t="s">
        <v>1017</v>
      </c>
      <c r="C396" s="7" t="s">
        <v>1018</v>
      </c>
      <c r="D396" s="6" t="s">
        <v>240</v>
      </c>
      <c r="E396" s="6" t="s">
        <v>240</v>
      </c>
      <c r="F396" s="8">
        <v>1.3</v>
      </c>
      <c r="G396" s="9">
        <v>1</v>
      </c>
      <c r="H396" s="9">
        <v>4</v>
      </c>
      <c r="I396" s="10">
        <v>1.06</v>
      </c>
      <c r="J396" s="11" t="s">
        <v>241</v>
      </c>
      <c r="K396" s="11" t="s">
        <v>241</v>
      </c>
      <c r="L396" s="11" t="s">
        <v>241</v>
      </c>
      <c r="M396" s="11">
        <v>1.655</v>
      </c>
      <c r="N396" s="11">
        <v>0.56040000000000001</v>
      </c>
    </row>
    <row r="397" spans="2:14" ht="15" customHeight="1" x14ac:dyDescent="0.25">
      <c r="B397" s="6" t="s">
        <v>1019</v>
      </c>
      <c r="C397" s="7" t="s">
        <v>1020</v>
      </c>
      <c r="D397" s="6" t="s">
        <v>240</v>
      </c>
      <c r="E397" s="6" t="s">
        <v>240</v>
      </c>
      <c r="F397" s="8">
        <v>3.2</v>
      </c>
      <c r="G397" s="9">
        <v>1</v>
      </c>
      <c r="H397" s="9">
        <v>12</v>
      </c>
      <c r="I397" s="10">
        <v>1</v>
      </c>
      <c r="J397" s="11" t="s">
        <v>241</v>
      </c>
      <c r="K397" s="11" t="s">
        <v>241</v>
      </c>
      <c r="L397" s="11" t="s">
        <v>241</v>
      </c>
      <c r="M397" s="11">
        <v>3.2578999999999998</v>
      </c>
      <c r="N397" s="11">
        <v>0.45279999999999998</v>
      </c>
    </row>
    <row r="398" spans="2:14" ht="15" customHeight="1" x14ac:dyDescent="0.25">
      <c r="B398" s="6" t="s">
        <v>1021</v>
      </c>
      <c r="C398" s="7" t="s">
        <v>1022</v>
      </c>
      <c r="D398" s="6" t="s">
        <v>240</v>
      </c>
      <c r="E398" s="6" t="s">
        <v>240</v>
      </c>
      <c r="F398" s="8">
        <v>1.5</v>
      </c>
      <c r="G398" s="9">
        <v>1</v>
      </c>
      <c r="H398" s="9">
        <v>5</v>
      </c>
      <c r="I398" s="10">
        <v>1</v>
      </c>
      <c r="J398" s="11" t="s">
        <v>241</v>
      </c>
      <c r="K398" s="11" t="s">
        <v>241</v>
      </c>
      <c r="L398" s="11" t="s">
        <v>241</v>
      </c>
      <c r="M398" s="11">
        <v>1.6476</v>
      </c>
      <c r="N398" s="11">
        <v>0.49159999999999998</v>
      </c>
    </row>
    <row r="399" spans="2:14" ht="15" customHeight="1" x14ac:dyDescent="0.25">
      <c r="B399" s="6" t="s">
        <v>1023</v>
      </c>
      <c r="C399" s="7" t="s">
        <v>1024</v>
      </c>
      <c r="D399" s="6" t="s">
        <v>290</v>
      </c>
      <c r="E399" s="6" t="s">
        <v>240</v>
      </c>
      <c r="F399" s="8">
        <v>4.2</v>
      </c>
      <c r="G399" s="9">
        <v>1</v>
      </c>
      <c r="H399" s="9">
        <v>13</v>
      </c>
      <c r="I399" s="10">
        <v>1.1000000000000001</v>
      </c>
      <c r="J399" s="11">
        <v>0.87870000000000004</v>
      </c>
      <c r="K399" s="11" t="s">
        <v>241</v>
      </c>
      <c r="L399" s="11" t="s">
        <v>241</v>
      </c>
      <c r="M399" s="11">
        <v>1.9954000000000001</v>
      </c>
      <c r="N399" s="11">
        <v>0.2286</v>
      </c>
    </row>
    <row r="400" spans="2:14" ht="15" customHeight="1" x14ac:dyDescent="0.25">
      <c r="B400" s="6" t="s">
        <v>1025</v>
      </c>
      <c r="C400" s="7" t="s">
        <v>1026</v>
      </c>
      <c r="D400" s="6" t="s">
        <v>240</v>
      </c>
      <c r="E400" s="6" t="s">
        <v>240</v>
      </c>
      <c r="F400" s="8">
        <v>1.1000000000000001</v>
      </c>
      <c r="G400" s="9">
        <v>1</v>
      </c>
      <c r="H400" s="9">
        <v>3</v>
      </c>
      <c r="I400" s="10">
        <v>1.73</v>
      </c>
      <c r="J400" s="11" t="s">
        <v>241</v>
      </c>
      <c r="K400" s="11" t="s">
        <v>241</v>
      </c>
      <c r="L400" s="11" t="s">
        <v>241</v>
      </c>
      <c r="M400" s="11">
        <v>0.80820000000000003</v>
      </c>
      <c r="N400" s="11">
        <v>0.2787</v>
      </c>
    </row>
    <row r="401" spans="2:14" ht="15" customHeight="1" x14ac:dyDescent="0.25">
      <c r="B401" s="6" t="s">
        <v>1027</v>
      </c>
      <c r="C401" s="7" t="s">
        <v>1028</v>
      </c>
      <c r="D401" s="6" t="s">
        <v>240</v>
      </c>
      <c r="E401" s="6" t="s">
        <v>240</v>
      </c>
      <c r="F401" s="8">
        <v>5</v>
      </c>
      <c r="G401" s="9">
        <v>1</v>
      </c>
      <c r="H401" s="9">
        <v>14</v>
      </c>
      <c r="I401" s="10">
        <v>0.85</v>
      </c>
      <c r="J401" s="11" t="s">
        <v>241</v>
      </c>
      <c r="K401" s="11" t="s">
        <v>241</v>
      </c>
      <c r="L401" s="11" t="s">
        <v>241</v>
      </c>
      <c r="M401" s="11">
        <v>2.7742</v>
      </c>
      <c r="N401" s="11">
        <v>0.26840000000000003</v>
      </c>
    </row>
    <row r="402" spans="2:14" ht="15" customHeight="1" x14ac:dyDescent="0.25">
      <c r="B402" s="6" t="s">
        <v>1029</v>
      </c>
      <c r="C402" s="7" t="s">
        <v>1030</v>
      </c>
      <c r="D402" s="6" t="s">
        <v>240</v>
      </c>
      <c r="E402" s="6" t="s">
        <v>240</v>
      </c>
      <c r="F402" s="8">
        <v>1.4</v>
      </c>
      <c r="G402" s="9">
        <v>1</v>
      </c>
      <c r="H402" s="9">
        <v>5</v>
      </c>
      <c r="I402" s="10">
        <v>1</v>
      </c>
      <c r="J402" s="11" t="s">
        <v>241</v>
      </c>
      <c r="K402" s="11" t="s">
        <v>241</v>
      </c>
      <c r="L402" s="11" t="s">
        <v>241</v>
      </c>
      <c r="M402" s="11">
        <v>1.4496</v>
      </c>
      <c r="N402" s="11">
        <v>0.3085</v>
      </c>
    </row>
    <row r="403" spans="2:14" ht="15" customHeight="1" x14ac:dyDescent="0.25">
      <c r="B403" s="6" t="s">
        <v>1031</v>
      </c>
      <c r="C403" s="7" t="s">
        <v>1032</v>
      </c>
      <c r="D403" s="6" t="s">
        <v>240</v>
      </c>
      <c r="E403" s="6" t="s">
        <v>240</v>
      </c>
      <c r="F403" s="8">
        <v>6.1</v>
      </c>
      <c r="G403" s="9">
        <v>1</v>
      </c>
      <c r="H403" s="9">
        <v>18</v>
      </c>
      <c r="I403" s="10">
        <v>1.1000000000000001</v>
      </c>
      <c r="J403" s="11" t="s">
        <v>241</v>
      </c>
      <c r="K403" s="11" t="s">
        <v>241</v>
      </c>
      <c r="L403" s="11" t="s">
        <v>241</v>
      </c>
      <c r="M403" s="11">
        <v>2.722</v>
      </c>
      <c r="N403" s="11">
        <v>0.25790000000000002</v>
      </c>
    </row>
    <row r="404" spans="2:14" ht="15" customHeight="1" x14ac:dyDescent="0.25">
      <c r="B404" s="6" t="s">
        <v>1033</v>
      </c>
      <c r="C404" s="7" t="s">
        <v>1034</v>
      </c>
      <c r="D404" s="6" t="s">
        <v>240</v>
      </c>
      <c r="E404" s="6" t="s">
        <v>240</v>
      </c>
      <c r="F404" s="8">
        <v>1.5</v>
      </c>
      <c r="G404" s="9">
        <v>1</v>
      </c>
      <c r="H404" s="9">
        <v>5</v>
      </c>
      <c r="I404" s="10">
        <v>0.93</v>
      </c>
      <c r="J404" s="11" t="s">
        <v>241</v>
      </c>
      <c r="K404" s="11" t="s">
        <v>241</v>
      </c>
      <c r="L404" s="11" t="s">
        <v>241</v>
      </c>
      <c r="M404" s="11">
        <v>1.3160000000000001</v>
      </c>
      <c r="N404" s="11">
        <v>0.28320000000000001</v>
      </c>
    </row>
    <row r="405" spans="2:14" ht="15" customHeight="1" x14ac:dyDescent="0.25">
      <c r="B405" s="6" t="s">
        <v>1035</v>
      </c>
      <c r="C405" s="7" t="s">
        <v>1036</v>
      </c>
      <c r="D405" s="6" t="s">
        <v>240</v>
      </c>
      <c r="E405" s="6" t="s">
        <v>240</v>
      </c>
      <c r="F405" s="8">
        <v>2.9</v>
      </c>
      <c r="G405" s="9">
        <v>1</v>
      </c>
      <c r="H405" s="9">
        <v>10</v>
      </c>
      <c r="I405" s="10">
        <v>0.94</v>
      </c>
      <c r="J405" s="11" t="s">
        <v>241</v>
      </c>
      <c r="K405" s="11" t="s">
        <v>241</v>
      </c>
      <c r="L405" s="11" t="s">
        <v>241</v>
      </c>
      <c r="M405" s="11">
        <v>1.6339999999999999</v>
      </c>
      <c r="N405" s="11">
        <v>0.28270000000000001</v>
      </c>
    </row>
    <row r="406" spans="2:14" ht="15" customHeight="1" x14ac:dyDescent="0.25">
      <c r="B406" s="6" t="s">
        <v>1037</v>
      </c>
      <c r="C406" s="7" t="s">
        <v>1038</v>
      </c>
      <c r="D406" s="6" t="s">
        <v>240</v>
      </c>
      <c r="E406" s="6" t="s">
        <v>240</v>
      </c>
      <c r="F406" s="8">
        <v>1.1000000000000001</v>
      </c>
      <c r="G406" s="9">
        <v>1</v>
      </c>
      <c r="H406" s="9">
        <v>3</v>
      </c>
      <c r="I406" s="10">
        <v>1.06</v>
      </c>
      <c r="J406" s="11" t="s">
        <v>241</v>
      </c>
      <c r="K406" s="11" t="s">
        <v>241</v>
      </c>
      <c r="L406" s="11" t="s">
        <v>241</v>
      </c>
      <c r="M406" s="11">
        <v>0.9587</v>
      </c>
      <c r="N406" s="11">
        <v>0.36799999999999999</v>
      </c>
    </row>
    <row r="407" spans="2:14" ht="15" customHeight="1" x14ac:dyDescent="0.25">
      <c r="B407" s="6" t="s">
        <v>1039</v>
      </c>
      <c r="C407" s="7" t="s">
        <v>1040</v>
      </c>
      <c r="D407" s="6" t="s">
        <v>290</v>
      </c>
      <c r="E407" s="6" t="s">
        <v>240</v>
      </c>
      <c r="F407" s="8">
        <v>2.9</v>
      </c>
      <c r="G407" s="9">
        <v>1</v>
      </c>
      <c r="H407" s="9">
        <v>8</v>
      </c>
      <c r="I407" s="10">
        <v>1.1100000000000001</v>
      </c>
      <c r="J407" s="11">
        <v>0.73970000000000002</v>
      </c>
      <c r="K407" s="11" t="s">
        <v>241</v>
      </c>
      <c r="L407" s="11" t="s">
        <v>241</v>
      </c>
      <c r="M407" s="11">
        <v>2.0009999999999999</v>
      </c>
      <c r="N407" s="11">
        <v>0.33979999999999999</v>
      </c>
    </row>
    <row r="408" spans="2:14" ht="15" customHeight="1" x14ac:dyDescent="0.25">
      <c r="B408" s="6" t="s">
        <v>1041</v>
      </c>
      <c r="C408" s="7" t="s">
        <v>1042</v>
      </c>
      <c r="D408" s="6" t="s">
        <v>240</v>
      </c>
      <c r="E408" s="6" t="s">
        <v>240</v>
      </c>
      <c r="F408" s="8">
        <v>1</v>
      </c>
      <c r="G408" s="9">
        <v>1</v>
      </c>
      <c r="H408" s="9">
        <v>3</v>
      </c>
      <c r="I408" s="10">
        <v>1</v>
      </c>
      <c r="J408" s="11" t="s">
        <v>241</v>
      </c>
      <c r="K408" s="11" t="s">
        <v>241</v>
      </c>
      <c r="L408" s="11" t="s">
        <v>241</v>
      </c>
      <c r="M408" s="11">
        <v>0.64129999999999998</v>
      </c>
      <c r="N408" s="11">
        <v>0.22109999999999999</v>
      </c>
    </row>
    <row r="409" spans="2:14" ht="15" customHeight="1" x14ac:dyDescent="0.25">
      <c r="B409" s="6" t="s">
        <v>1043</v>
      </c>
      <c r="C409" s="7" t="s">
        <v>1044</v>
      </c>
      <c r="D409" s="6" t="s">
        <v>240</v>
      </c>
      <c r="E409" s="6" t="s">
        <v>240</v>
      </c>
      <c r="F409" s="8">
        <v>4.9000000000000004</v>
      </c>
      <c r="G409" s="9">
        <v>1</v>
      </c>
      <c r="H409" s="9">
        <v>11</v>
      </c>
      <c r="I409" s="10">
        <v>1</v>
      </c>
      <c r="J409" s="11" t="s">
        <v>241</v>
      </c>
      <c r="K409" s="11" t="s">
        <v>241</v>
      </c>
      <c r="L409" s="11" t="s">
        <v>241</v>
      </c>
      <c r="M409" s="11">
        <v>1.6408</v>
      </c>
      <c r="N409" s="11">
        <v>0.23830000000000001</v>
      </c>
    </row>
    <row r="410" spans="2:14" ht="15" customHeight="1" x14ac:dyDescent="0.25">
      <c r="B410" s="6" t="s">
        <v>1045</v>
      </c>
      <c r="C410" s="7" t="s">
        <v>1046</v>
      </c>
      <c r="D410" s="6" t="s">
        <v>240</v>
      </c>
      <c r="E410" s="6" t="s">
        <v>240</v>
      </c>
      <c r="F410" s="8">
        <v>1.1000000000000001</v>
      </c>
      <c r="G410" s="9">
        <v>1</v>
      </c>
      <c r="H410" s="9">
        <v>3</v>
      </c>
      <c r="I410" s="10">
        <v>1</v>
      </c>
      <c r="J410" s="11" t="s">
        <v>241</v>
      </c>
      <c r="K410" s="11" t="s">
        <v>241</v>
      </c>
      <c r="L410" s="11" t="s">
        <v>241</v>
      </c>
      <c r="M410" s="11">
        <v>0.81120000000000003</v>
      </c>
      <c r="N410" s="11">
        <v>0.25190000000000001</v>
      </c>
    </row>
    <row r="411" spans="2:14" ht="15" customHeight="1" x14ac:dyDescent="0.25">
      <c r="B411" s="6" t="s">
        <v>1047</v>
      </c>
      <c r="C411" s="7" t="s">
        <v>1048</v>
      </c>
      <c r="D411" s="6" t="s">
        <v>240</v>
      </c>
      <c r="E411" s="6" t="s">
        <v>240</v>
      </c>
      <c r="F411" s="8">
        <v>13.4</v>
      </c>
      <c r="G411" s="9">
        <v>3</v>
      </c>
      <c r="H411" s="9">
        <v>35</v>
      </c>
      <c r="I411" s="10">
        <v>1</v>
      </c>
      <c r="J411" s="11" t="s">
        <v>241</v>
      </c>
      <c r="K411" s="11">
        <v>0.31059999999999999</v>
      </c>
      <c r="L411" s="11">
        <v>1.4246000000000001</v>
      </c>
      <c r="M411" s="11">
        <v>4.5845000000000002</v>
      </c>
      <c r="N411" s="11">
        <v>0.24110000000000001</v>
      </c>
    </row>
    <row r="412" spans="2:14" ht="15" customHeight="1" x14ac:dyDescent="0.25">
      <c r="B412" s="6" t="s">
        <v>1049</v>
      </c>
      <c r="C412" s="7" t="s">
        <v>1050</v>
      </c>
      <c r="D412" s="6" t="s">
        <v>290</v>
      </c>
      <c r="E412" s="6" t="s">
        <v>240</v>
      </c>
      <c r="F412" s="8">
        <v>5.3</v>
      </c>
      <c r="G412" s="9">
        <v>1</v>
      </c>
      <c r="H412" s="9">
        <v>13</v>
      </c>
      <c r="I412" s="10">
        <v>1.46</v>
      </c>
      <c r="J412" s="11">
        <v>0.48930000000000001</v>
      </c>
      <c r="K412" s="11" t="s">
        <v>241</v>
      </c>
      <c r="L412" s="11" t="s">
        <v>241</v>
      </c>
      <c r="M412" s="11">
        <v>1.8294999999999999</v>
      </c>
      <c r="N412" s="11">
        <v>0.20730000000000001</v>
      </c>
    </row>
    <row r="413" spans="2:14" ht="15" customHeight="1" x14ac:dyDescent="0.25">
      <c r="B413" s="6" t="s">
        <v>1051</v>
      </c>
      <c r="C413" s="7" t="s">
        <v>1052</v>
      </c>
      <c r="D413" s="6" t="s">
        <v>240</v>
      </c>
      <c r="E413" s="6" t="s">
        <v>240</v>
      </c>
      <c r="F413" s="8">
        <v>11.6</v>
      </c>
      <c r="G413" s="9">
        <v>3</v>
      </c>
      <c r="H413" s="9">
        <v>33</v>
      </c>
      <c r="I413" s="10">
        <v>1</v>
      </c>
      <c r="J413" s="11" t="s">
        <v>241</v>
      </c>
      <c r="K413" s="11">
        <v>0.75019999999999998</v>
      </c>
      <c r="L413" s="11">
        <v>1.3234999999999999</v>
      </c>
      <c r="M413" s="11">
        <v>4.7207999999999997</v>
      </c>
      <c r="N413" s="11">
        <v>0.26190000000000002</v>
      </c>
    </row>
    <row r="414" spans="2:14" ht="15" customHeight="1" x14ac:dyDescent="0.25">
      <c r="B414" s="6" t="s">
        <v>1053</v>
      </c>
      <c r="C414" s="7" t="s">
        <v>1054</v>
      </c>
      <c r="D414" s="6" t="s">
        <v>290</v>
      </c>
      <c r="E414" s="6" t="s">
        <v>240</v>
      </c>
      <c r="F414" s="8">
        <v>2.6</v>
      </c>
      <c r="G414" s="9">
        <v>1</v>
      </c>
      <c r="H414" s="9">
        <v>7</v>
      </c>
      <c r="I414" s="10">
        <v>1.1299999999999999</v>
      </c>
      <c r="J414" s="11">
        <v>0.64959999999999996</v>
      </c>
      <c r="K414" s="11" t="s">
        <v>241</v>
      </c>
      <c r="L414" s="11" t="s">
        <v>241</v>
      </c>
      <c r="M414" s="11">
        <v>1.4281999999999999</v>
      </c>
      <c r="N414" s="11">
        <v>0.23619999999999999</v>
      </c>
    </row>
    <row r="415" spans="2:14" ht="15" customHeight="1" x14ac:dyDescent="0.25">
      <c r="B415" s="6" t="s">
        <v>1055</v>
      </c>
      <c r="C415" s="7" t="s">
        <v>1056</v>
      </c>
      <c r="D415" s="6" t="s">
        <v>240</v>
      </c>
      <c r="E415" s="6" t="s">
        <v>240</v>
      </c>
      <c r="F415" s="8">
        <v>12.6</v>
      </c>
      <c r="G415" s="9">
        <v>3</v>
      </c>
      <c r="H415" s="9">
        <v>36</v>
      </c>
      <c r="I415" s="10">
        <v>1</v>
      </c>
      <c r="J415" s="11" t="s">
        <v>241</v>
      </c>
      <c r="K415" s="11">
        <v>0.90669999999999995</v>
      </c>
      <c r="L415" s="11">
        <v>1.2652000000000001</v>
      </c>
      <c r="M415" s="11">
        <v>4.7023000000000001</v>
      </c>
      <c r="N415" s="11">
        <v>0.23599999999999999</v>
      </c>
    </row>
    <row r="416" spans="2:14" ht="15" customHeight="1" x14ac:dyDescent="0.25">
      <c r="B416" s="6" t="s">
        <v>1057</v>
      </c>
      <c r="C416" s="7" t="s">
        <v>1058</v>
      </c>
      <c r="D416" s="6" t="s">
        <v>240</v>
      </c>
      <c r="E416" s="6" t="s">
        <v>240</v>
      </c>
      <c r="F416" s="8">
        <v>4.0999999999999996</v>
      </c>
      <c r="G416" s="9">
        <v>1</v>
      </c>
      <c r="H416" s="9">
        <v>13</v>
      </c>
      <c r="I416" s="10">
        <v>1</v>
      </c>
      <c r="J416" s="11" t="s">
        <v>241</v>
      </c>
      <c r="K416" s="11" t="s">
        <v>241</v>
      </c>
      <c r="L416" s="11" t="s">
        <v>241</v>
      </c>
      <c r="M416" s="11">
        <v>2.0371999999999999</v>
      </c>
      <c r="N416" s="11">
        <v>0.2291</v>
      </c>
    </row>
    <row r="417" spans="2:14" ht="15" customHeight="1" x14ac:dyDescent="0.25">
      <c r="B417" s="6" t="s">
        <v>1059</v>
      </c>
      <c r="C417" s="7" t="s">
        <v>1060</v>
      </c>
      <c r="D417" s="6" t="s">
        <v>240</v>
      </c>
      <c r="E417" s="6" t="s">
        <v>240</v>
      </c>
      <c r="F417" s="8">
        <v>1.5</v>
      </c>
      <c r="G417" s="9">
        <v>1</v>
      </c>
      <c r="H417" s="9">
        <v>5</v>
      </c>
      <c r="I417" s="10">
        <v>1.08</v>
      </c>
      <c r="J417" s="11" t="s">
        <v>241</v>
      </c>
      <c r="K417" s="11" t="s">
        <v>241</v>
      </c>
      <c r="L417" s="11" t="s">
        <v>241</v>
      </c>
      <c r="M417" s="11">
        <v>1.1456</v>
      </c>
      <c r="N417" s="11">
        <v>0.26200000000000001</v>
      </c>
    </row>
    <row r="418" spans="2:14" ht="15" customHeight="1" x14ac:dyDescent="0.25">
      <c r="B418" s="6" t="s">
        <v>1061</v>
      </c>
      <c r="C418" s="7" t="s">
        <v>1062</v>
      </c>
      <c r="D418" s="6" t="s">
        <v>240</v>
      </c>
      <c r="E418" s="6" t="s">
        <v>240</v>
      </c>
      <c r="F418" s="8">
        <v>1.3</v>
      </c>
      <c r="G418" s="9">
        <v>1</v>
      </c>
      <c r="H418" s="9">
        <v>4</v>
      </c>
      <c r="I418" s="10">
        <v>1.1599999999999999</v>
      </c>
      <c r="J418" s="11" t="s">
        <v>241</v>
      </c>
      <c r="K418" s="11" t="s">
        <v>241</v>
      </c>
      <c r="L418" s="11" t="s">
        <v>241</v>
      </c>
      <c r="M418" s="11">
        <v>1.8182</v>
      </c>
      <c r="N418" s="11">
        <v>0.58520000000000005</v>
      </c>
    </row>
    <row r="419" spans="2:14" ht="15" customHeight="1" x14ac:dyDescent="0.25">
      <c r="B419" s="6" t="s">
        <v>1063</v>
      </c>
      <c r="C419" s="7" t="s">
        <v>1064</v>
      </c>
      <c r="D419" s="6" t="s">
        <v>240</v>
      </c>
      <c r="E419" s="6" t="s">
        <v>240</v>
      </c>
      <c r="F419" s="8">
        <v>1.2</v>
      </c>
      <c r="G419" s="9">
        <v>1</v>
      </c>
      <c r="H419" s="9">
        <v>4</v>
      </c>
      <c r="I419" s="10">
        <v>1</v>
      </c>
      <c r="J419" s="11" t="s">
        <v>241</v>
      </c>
      <c r="K419" s="11" t="s">
        <v>241</v>
      </c>
      <c r="L419" s="11" t="s">
        <v>241</v>
      </c>
      <c r="M419" s="11">
        <v>0.85289999999999999</v>
      </c>
      <c r="N419" s="11">
        <v>0.26479999999999998</v>
      </c>
    </row>
    <row r="420" spans="2:14" ht="15" customHeight="1" x14ac:dyDescent="0.25">
      <c r="B420" s="6" t="s">
        <v>1065</v>
      </c>
      <c r="C420" s="7" t="s">
        <v>1066</v>
      </c>
      <c r="D420" s="6" t="s">
        <v>240</v>
      </c>
      <c r="E420" s="6" t="s">
        <v>240</v>
      </c>
      <c r="F420" s="8">
        <v>20.9</v>
      </c>
      <c r="G420" s="9">
        <v>14</v>
      </c>
      <c r="H420" s="9">
        <v>32</v>
      </c>
      <c r="I420" s="10">
        <v>1</v>
      </c>
      <c r="J420" s="11" t="s">
        <v>241</v>
      </c>
      <c r="K420" s="11">
        <v>3.1145999999999998</v>
      </c>
      <c r="L420" s="11">
        <v>0.47920000000000001</v>
      </c>
      <c r="M420" s="11">
        <v>9.8229000000000006</v>
      </c>
      <c r="N420" s="11">
        <v>0.21959999999999999</v>
      </c>
    </row>
    <row r="421" spans="2:14" ht="15" customHeight="1" x14ac:dyDescent="0.25">
      <c r="B421" s="6" t="s">
        <v>1067</v>
      </c>
      <c r="C421" s="7" t="s">
        <v>1068</v>
      </c>
      <c r="D421" s="6" t="s">
        <v>240</v>
      </c>
      <c r="E421" s="6" t="s">
        <v>240</v>
      </c>
      <c r="F421" s="8">
        <v>11.4</v>
      </c>
      <c r="G421" s="9">
        <v>3</v>
      </c>
      <c r="H421" s="9">
        <v>31</v>
      </c>
      <c r="I421" s="10">
        <v>1</v>
      </c>
      <c r="J421" s="11" t="s">
        <v>241</v>
      </c>
      <c r="K421" s="11">
        <v>2.6371000000000002</v>
      </c>
      <c r="L421" s="11">
        <v>1.2559</v>
      </c>
      <c r="M421" s="11">
        <v>6.4048999999999996</v>
      </c>
      <c r="N421" s="11">
        <v>0.18859999999999999</v>
      </c>
    </row>
    <row r="422" spans="2:14" ht="15" customHeight="1" x14ac:dyDescent="0.25">
      <c r="B422" s="6" t="s">
        <v>1069</v>
      </c>
      <c r="C422" s="7" t="s">
        <v>1070</v>
      </c>
      <c r="D422" s="6" t="s">
        <v>240</v>
      </c>
      <c r="E422" s="6" t="s">
        <v>240</v>
      </c>
      <c r="F422" s="8">
        <v>7</v>
      </c>
      <c r="G422" s="9">
        <v>2</v>
      </c>
      <c r="H422" s="9">
        <v>19</v>
      </c>
      <c r="I422" s="10">
        <v>1</v>
      </c>
      <c r="J422" s="11" t="s">
        <v>241</v>
      </c>
      <c r="K422" s="11">
        <v>2.0476999999999999</v>
      </c>
      <c r="L422" s="11">
        <v>1.2876000000000001</v>
      </c>
      <c r="M422" s="11">
        <v>4.6228999999999996</v>
      </c>
      <c r="N422" s="11">
        <v>0.1777</v>
      </c>
    </row>
    <row r="423" spans="2:14" ht="15" customHeight="1" x14ac:dyDescent="0.25">
      <c r="B423" s="6" t="s">
        <v>1071</v>
      </c>
      <c r="C423" s="7" t="s">
        <v>1072</v>
      </c>
      <c r="D423" s="6" t="s">
        <v>240</v>
      </c>
      <c r="E423" s="6" t="s">
        <v>240</v>
      </c>
      <c r="F423" s="8">
        <v>19</v>
      </c>
      <c r="G423" s="9">
        <v>6</v>
      </c>
      <c r="H423" s="9">
        <v>57</v>
      </c>
      <c r="I423" s="10">
        <v>1</v>
      </c>
      <c r="J423" s="11" t="s">
        <v>241</v>
      </c>
      <c r="K423" s="11">
        <v>3.4506000000000001</v>
      </c>
      <c r="L423" s="11">
        <v>0.8448</v>
      </c>
      <c r="M423" s="11">
        <v>8.5196000000000005</v>
      </c>
      <c r="N423" s="11">
        <v>0.16639999999999999</v>
      </c>
    </row>
    <row r="424" spans="2:14" ht="15" customHeight="1" x14ac:dyDescent="0.25">
      <c r="B424" s="6" t="s">
        <v>1073</v>
      </c>
      <c r="C424" s="7" t="s">
        <v>1074</v>
      </c>
      <c r="D424" s="6" t="s">
        <v>240</v>
      </c>
      <c r="E424" s="6" t="s">
        <v>240</v>
      </c>
      <c r="F424" s="8">
        <v>8.9</v>
      </c>
      <c r="G424" s="9">
        <v>2</v>
      </c>
      <c r="H424" s="9">
        <v>24</v>
      </c>
      <c r="I424" s="10">
        <v>1</v>
      </c>
      <c r="J424" s="11" t="s">
        <v>241</v>
      </c>
      <c r="K424" s="11">
        <v>1.4052</v>
      </c>
      <c r="L424" s="11">
        <v>1.8508</v>
      </c>
      <c r="M424" s="11">
        <v>5.1067</v>
      </c>
      <c r="N424" s="11">
        <v>0.14610000000000001</v>
      </c>
    </row>
    <row r="425" spans="2:14" ht="15" customHeight="1" x14ac:dyDescent="0.25">
      <c r="B425" s="6" t="s">
        <v>1075</v>
      </c>
      <c r="C425" s="7" t="s">
        <v>1076</v>
      </c>
      <c r="D425" s="6" t="s">
        <v>240</v>
      </c>
      <c r="E425" s="6" t="s">
        <v>240</v>
      </c>
      <c r="F425" s="8">
        <v>7.5</v>
      </c>
      <c r="G425" s="9">
        <v>2</v>
      </c>
      <c r="H425" s="9">
        <v>23</v>
      </c>
      <c r="I425" s="10">
        <v>1</v>
      </c>
      <c r="J425" s="11" t="s">
        <v>241</v>
      </c>
      <c r="K425" s="11">
        <v>1.8957999999999999</v>
      </c>
      <c r="L425" s="11">
        <v>1.4314</v>
      </c>
      <c r="M425" s="11">
        <v>4.7586000000000004</v>
      </c>
      <c r="N425" s="11">
        <v>0.2626</v>
      </c>
    </row>
    <row r="426" spans="2:14" ht="15" customHeight="1" x14ac:dyDescent="0.25">
      <c r="B426" s="6" t="s">
        <v>1077</v>
      </c>
      <c r="C426" s="7" t="s">
        <v>1078</v>
      </c>
      <c r="D426" s="6" t="s">
        <v>240</v>
      </c>
      <c r="E426" s="6" t="s">
        <v>240</v>
      </c>
      <c r="F426" s="8">
        <v>3.4</v>
      </c>
      <c r="G426" s="9">
        <v>1</v>
      </c>
      <c r="H426" s="9">
        <v>12</v>
      </c>
      <c r="I426" s="10">
        <v>1</v>
      </c>
      <c r="J426" s="11" t="s">
        <v>241</v>
      </c>
      <c r="K426" s="11" t="s">
        <v>241</v>
      </c>
      <c r="L426" s="11" t="s">
        <v>241</v>
      </c>
      <c r="M426" s="11">
        <v>3.3984999999999999</v>
      </c>
      <c r="N426" s="11">
        <v>0.24360000000000001</v>
      </c>
    </row>
    <row r="427" spans="2:14" ht="15" customHeight="1" x14ac:dyDescent="0.25">
      <c r="B427" s="6" t="s">
        <v>1079</v>
      </c>
      <c r="C427" s="7" t="s">
        <v>1080</v>
      </c>
      <c r="D427" s="6" t="s">
        <v>240</v>
      </c>
      <c r="E427" s="6" t="s">
        <v>240</v>
      </c>
      <c r="F427" s="8">
        <v>6.1</v>
      </c>
      <c r="G427" s="9">
        <v>2</v>
      </c>
      <c r="H427" s="9">
        <v>20</v>
      </c>
      <c r="I427" s="10">
        <v>1.1499999999999999</v>
      </c>
      <c r="J427" s="11" t="s">
        <v>241</v>
      </c>
      <c r="K427" s="11">
        <v>0.25769999999999998</v>
      </c>
      <c r="L427" s="11">
        <v>0.96099999999999997</v>
      </c>
      <c r="M427" s="11">
        <v>2.1797</v>
      </c>
      <c r="N427" s="11">
        <v>0.23250000000000001</v>
      </c>
    </row>
    <row r="428" spans="2:14" ht="15" customHeight="1" x14ac:dyDescent="0.25">
      <c r="B428" s="6" t="s">
        <v>1081</v>
      </c>
      <c r="C428" s="7" t="s">
        <v>1082</v>
      </c>
      <c r="D428" s="6" t="s">
        <v>240</v>
      </c>
      <c r="E428" s="6" t="s">
        <v>240</v>
      </c>
      <c r="F428" s="8">
        <v>6.5</v>
      </c>
      <c r="G428" s="9">
        <v>1</v>
      </c>
      <c r="H428" s="9">
        <v>18</v>
      </c>
      <c r="I428" s="10">
        <v>1</v>
      </c>
      <c r="J428" s="11" t="s">
        <v>241</v>
      </c>
      <c r="K428" s="11" t="s">
        <v>241</v>
      </c>
      <c r="L428" s="11" t="s">
        <v>241</v>
      </c>
      <c r="M428" s="11">
        <v>1.4908999999999999</v>
      </c>
      <c r="N428" s="11">
        <v>0.22620000000000001</v>
      </c>
    </row>
    <row r="429" spans="2:14" ht="15" customHeight="1" x14ac:dyDescent="0.25">
      <c r="B429" s="6" t="s">
        <v>1083</v>
      </c>
      <c r="C429" s="7" t="s">
        <v>1084</v>
      </c>
      <c r="D429" s="6" t="s">
        <v>240</v>
      </c>
      <c r="E429" s="6" t="s">
        <v>240</v>
      </c>
      <c r="F429" s="8">
        <v>5.5</v>
      </c>
      <c r="G429" s="9">
        <v>1</v>
      </c>
      <c r="H429" s="9">
        <v>17</v>
      </c>
      <c r="I429" s="10">
        <v>1</v>
      </c>
      <c r="J429" s="11" t="s">
        <v>241</v>
      </c>
      <c r="K429" s="11" t="s">
        <v>241</v>
      </c>
      <c r="L429" s="11" t="s">
        <v>241</v>
      </c>
      <c r="M429" s="11">
        <v>1.4209000000000001</v>
      </c>
      <c r="N429" s="11">
        <v>0.2384</v>
      </c>
    </row>
    <row r="430" spans="2:14" ht="15" customHeight="1" x14ac:dyDescent="0.25">
      <c r="B430" s="6" t="s">
        <v>1085</v>
      </c>
      <c r="C430" s="7" t="s">
        <v>1086</v>
      </c>
      <c r="D430" s="6" t="s">
        <v>240</v>
      </c>
      <c r="E430" s="6" t="s">
        <v>240</v>
      </c>
      <c r="F430" s="8">
        <v>1.7</v>
      </c>
      <c r="G430" s="9">
        <v>1</v>
      </c>
      <c r="H430" s="9">
        <v>5</v>
      </c>
      <c r="I430" s="10">
        <v>1</v>
      </c>
      <c r="J430" s="11" t="s">
        <v>241</v>
      </c>
      <c r="K430" s="11" t="s">
        <v>241</v>
      </c>
      <c r="L430" s="11" t="s">
        <v>241</v>
      </c>
      <c r="M430" s="11">
        <v>0.37219999999999998</v>
      </c>
      <c r="N430" s="11">
        <v>0.24210000000000001</v>
      </c>
    </row>
    <row r="431" spans="2:14" ht="15" customHeight="1" x14ac:dyDescent="0.25">
      <c r="B431" s="6" t="s">
        <v>1087</v>
      </c>
      <c r="C431" s="7" t="s">
        <v>1088</v>
      </c>
      <c r="D431" s="6" t="s">
        <v>240</v>
      </c>
      <c r="E431" s="6" t="s">
        <v>240</v>
      </c>
      <c r="F431" s="8">
        <v>14.4</v>
      </c>
      <c r="G431" s="9">
        <v>4</v>
      </c>
      <c r="H431" s="9">
        <v>44</v>
      </c>
      <c r="I431" s="10">
        <v>1.06</v>
      </c>
      <c r="J431" s="11" t="s">
        <v>241</v>
      </c>
      <c r="K431" s="11">
        <v>0</v>
      </c>
      <c r="L431" s="11">
        <v>0.92479999999999996</v>
      </c>
      <c r="M431" s="11">
        <v>3.6991000000000001</v>
      </c>
      <c r="N431" s="11">
        <v>0.16889999999999999</v>
      </c>
    </row>
    <row r="432" spans="2:14" ht="15" customHeight="1" x14ac:dyDescent="0.25">
      <c r="B432" s="6" t="s">
        <v>1089</v>
      </c>
      <c r="C432" s="7" t="s">
        <v>1090</v>
      </c>
      <c r="D432" s="6" t="s">
        <v>240</v>
      </c>
      <c r="E432" s="6" t="s">
        <v>240</v>
      </c>
      <c r="F432" s="8">
        <v>6.2</v>
      </c>
      <c r="G432" s="9">
        <v>2</v>
      </c>
      <c r="H432" s="9">
        <v>19</v>
      </c>
      <c r="I432" s="10">
        <v>1.18</v>
      </c>
      <c r="J432" s="11" t="s">
        <v>241</v>
      </c>
      <c r="K432" s="11">
        <v>0</v>
      </c>
      <c r="L432" s="11">
        <v>0.69159999999999999</v>
      </c>
      <c r="M432" s="11">
        <v>1.3832</v>
      </c>
      <c r="N432" s="11">
        <v>0.1052</v>
      </c>
    </row>
    <row r="433" spans="2:14" ht="15" customHeight="1" x14ac:dyDescent="0.25">
      <c r="B433" s="6" t="s">
        <v>1091</v>
      </c>
      <c r="C433" s="7" t="s">
        <v>1092</v>
      </c>
      <c r="D433" s="6" t="s">
        <v>240</v>
      </c>
      <c r="E433" s="6" t="s">
        <v>240</v>
      </c>
      <c r="F433" s="8">
        <v>10.4</v>
      </c>
      <c r="G433" s="9">
        <v>3</v>
      </c>
      <c r="H433" s="9">
        <v>31</v>
      </c>
      <c r="I433" s="10">
        <v>0.88</v>
      </c>
      <c r="J433" s="11" t="s">
        <v>241</v>
      </c>
      <c r="K433" s="11">
        <v>0</v>
      </c>
      <c r="L433" s="11">
        <v>1.1435999999999999</v>
      </c>
      <c r="M433" s="11">
        <v>3.4306999999999999</v>
      </c>
      <c r="N433" s="11">
        <v>0.26679999999999998</v>
      </c>
    </row>
    <row r="434" spans="2:14" ht="15" customHeight="1" x14ac:dyDescent="0.25">
      <c r="B434" s="6" t="s">
        <v>1093</v>
      </c>
      <c r="C434" s="7" t="s">
        <v>1094</v>
      </c>
      <c r="D434" s="6" t="s">
        <v>240</v>
      </c>
      <c r="E434" s="6" t="s">
        <v>240</v>
      </c>
      <c r="F434" s="8">
        <v>4</v>
      </c>
      <c r="G434" s="9">
        <v>1</v>
      </c>
      <c r="H434" s="9">
        <v>12</v>
      </c>
      <c r="I434" s="10">
        <v>1.17</v>
      </c>
      <c r="J434" s="11" t="s">
        <v>241</v>
      </c>
      <c r="K434" s="11" t="s">
        <v>241</v>
      </c>
      <c r="L434" s="11" t="s">
        <v>241</v>
      </c>
      <c r="M434" s="11">
        <v>1.1988000000000001</v>
      </c>
      <c r="N434" s="11">
        <v>0.25</v>
      </c>
    </row>
    <row r="435" spans="2:14" ht="15" customHeight="1" x14ac:dyDescent="0.25">
      <c r="B435" s="6" t="s">
        <v>1095</v>
      </c>
      <c r="C435" s="7" t="s">
        <v>1096</v>
      </c>
      <c r="D435" s="6" t="s">
        <v>240</v>
      </c>
      <c r="E435" s="6" t="s">
        <v>240</v>
      </c>
      <c r="F435" s="8">
        <v>6.1</v>
      </c>
      <c r="G435" s="9">
        <v>2</v>
      </c>
      <c r="H435" s="9">
        <v>18</v>
      </c>
      <c r="I435" s="10">
        <v>1</v>
      </c>
      <c r="J435" s="11" t="s">
        <v>241</v>
      </c>
      <c r="K435" s="11">
        <v>0</v>
      </c>
      <c r="L435" s="11">
        <v>1.1238999999999999</v>
      </c>
      <c r="M435" s="11">
        <v>2.2477999999999998</v>
      </c>
      <c r="N435" s="11">
        <v>0.27110000000000001</v>
      </c>
    </row>
    <row r="436" spans="2:14" ht="15" customHeight="1" x14ac:dyDescent="0.25">
      <c r="B436" s="6" t="s">
        <v>1097</v>
      </c>
      <c r="C436" s="7" t="s">
        <v>1098</v>
      </c>
      <c r="D436" s="6" t="s">
        <v>240</v>
      </c>
      <c r="E436" s="6" t="s">
        <v>240</v>
      </c>
      <c r="F436" s="8">
        <v>1.3</v>
      </c>
      <c r="G436" s="9">
        <v>1</v>
      </c>
      <c r="H436" s="9">
        <v>4</v>
      </c>
      <c r="I436" s="10">
        <v>1.45</v>
      </c>
      <c r="J436" s="11" t="s">
        <v>241</v>
      </c>
      <c r="K436" s="11" t="s">
        <v>241</v>
      </c>
      <c r="L436" s="11" t="s">
        <v>241</v>
      </c>
      <c r="M436" s="11">
        <v>0.26950000000000002</v>
      </c>
      <c r="N436" s="11">
        <v>0.19339999999999999</v>
      </c>
    </row>
    <row r="437" spans="2:14" ht="15" customHeight="1" x14ac:dyDescent="0.25">
      <c r="B437" s="6" t="s">
        <v>1099</v>
      </c>
      <c r="C437" s="7" t="s">
        <v>1100</v>
      </c>
      <c r="D437" s="6" t="s">
        <v>240</v>
      </c>
      <c r="E437" s="6" t="s">
        <v>240</v>
      </c>
      <c r="F437" s="8">
        <v>12.3</v>
      </c>
      <c r="G437" s="9">
        <v>3</v>
      </c>
      <c r="H437" s="9">
        <v>36</v>
      </c>
      <c r="I437" s="10">
        <v>1</v>
      </c>
      <c r="J437" s="11" t="s">
        <v>241</v>
      </c>
      <c r="K437" s="11">
        <v>0</v>
      </c>
      <c r="L437" s="11">
        <v>1.1125</v>
      </c>
      <c r="M437" s="11">
        <v>3.3374999999999999</v>
      </c>
      <c r="N437" s="11">
        <v>0.17419999999999999</v>
      </c>
    </row>
    <row r="438" spans="2:14" ht="15" customHeight="1" x14ac:dyDescent="0.25">
      <c r="B438" s="6" t="s">
        <v>1101</v>
      </c>
      <c r="C438" s="7" t="s">
        <v>1102</v>
      </c>
      <c r="D438" s="6" t="s">
        <v>240</v>
      </c>
      <c r="E438" s="6" t="s">
        <v>240</v>
      </c>
      <c r="F438" s="8">
        <v>5.5</v>
      </c>
      <c r="G438" s="9">
        <v>1</v>
      </c>
      <c r="H438" s="9">
        <v>15</v>
      </c>
      <c r="I438" s="10">
        <v>1.58</v>
      </c>
      <c r="J438" s="11" t="s">
        <v>241</v>
      </c>
      <c r="K438" s="11" t="s">
        <v>241</v>
      </c>
      <c r="L438" s="11" t="s">
        <v>241</v>
      </c>
      <c r="M438" s="11">
        <v>0.89680000000000004</v>
      </c>
      <c r="N438" s="11">
        <v>0.12859999999999999</v>
      </c>
    </row>
    <row r="439" spans="2:14" ht="15" customHeight="1" x14ac:dyDescent="0.25">
      <c r="B439" s="6" t="s">
        <v>1103</v>
      </c>
      <c r="C439" s="7" t="s">
        <v>1104</v>
      </c>
      <c r="D439" s="6" t="s">
        <v>240</v>
      </c>
      <c r="E439" s="6" t="s">
        <v>240</v>
      </c>
      <c r="F439" s="8">
        <v>5.9</v>
      </c>
      <c r="G439" s="9">
        <v>1</v>
      </c>
      <c r="H439" s="9">
        <v>17</v>
      </c>
      <c r="I439" s="10">
        <v>0.95</v>
      </c>
      <c r="J439" s="11" t="s">
        <v>241</v>
      </c>
      <c r="K439" s="11" t="s">
        <v>241</v>
      </c>
      <c r="L439" s="11" t="s">
        <v>241</v>
      </c>
      <c r="M439" s="11">
        <v>1.3975</v>
      </c>
      <c r="N439" s="11">
        <v>0.23069999999999999</v>
      </c>
    </row>
    <row r="440" spans="2:14" ht="15" customHeight="1" x14ac:dyDescent="0.25">
      <c r="B440" s="6" t="s">
        <v>1105</v>
      </c>
      <c r="C440" s="7" t="s">
        <v>1106</v>
      </c>
      <c r="D440" s="6" t="s">
        <v>240</v>
      </c>
      <c r="E440" s="6" t="s">
        <v>240</v>
      </c>
      <c r="F440" s="8">
        <v>1.6</v>
      </c>
      <c r="G440" s="9">
        <v>1</v>
      </c>
      <c r="H440" s="9">
        <v>5</v>
      </c>
      <c r="I440" s="10">
        <v>1.71</v>
      </c>
      <c r="J440" s="11" t="s">
        <v>241</v>
      </c>
      <c r="K440" s="11" t="s">
        <v>241</v>
      </c>
      <c r="L440" s="11" t="s">
        <v>241</v>
      </c>
      <c r="M440" s="11">
        <v>0.33760000000000001</v>
      </c>
      <c r="N440" s="11">
        <v>0.24129999999999999</v>
      </c>
    </row>
    <row r="441" spans="2:14" ht="15" customHeight="1" x14ac:dyDescent="0.25">
      <c r="B441" s="6" t="s">
        <v>1107</v>
      </c>
      <c r="C441" s="7" t="s">
        <v>1108</v>
      </c>
      <c r="D441" s="6" t="s">
        <v>240</v>
      </c>
      <c r="E441" s="6" t="s">
        <v>240</v>
      </c>
      <c r="F441" s="8">
        <v>5.3</v>
      </c>
      <c r="G441" s="9">
        <v>1</v>
      </c>
      <c r="H441" s="9">
        <v>15</v>
      </c>
      <c r="I441" s="10">
        <v>0.8</v>
      </c>
      <c r="J441" s="11" t="s">
        <v>241</v>
      </c>
      <c r="K441" s="11" t="s">
        <v>241</v>
      </c>
      <c r="L441" s="11" t="s">
        <v>241</v>
      </c>
      <c r="M441" s="11">
        <v>1.26</v>
      </c>
      <c r="N441" s="11">
        <v>0.23760000000000001</v>
      </c>
    </row>
    <row r="442" spans="2:14" ht="15" customHeight="1" x14ac:dyDescent="0.25">
      <c r="B442" s="6" t="s">
        <v>1109</v>
      </c>
      <c r="C442" s="7" t="s">
        <v>1110</v>
      </c>
      <c r="D442" s="6" t="s">
        <v>240</v>
      </c>
      <c r="E442" s="6" t="s">
        <v>240</v>
      </c>
      <c r="F442" s="8">
        <v>1.6</v>
      </c>
      <c r="G442" s="9">
        <v>1</v>
      </c>
      <c r="H442" s="9">
        <v>5</v>
      </c>
      <c r="I442" s="10">
        <v>1.25</v>
      </c>
      <c r="J442" s="11" t="s">
        <v>241</v>
      </c>
      <c r="K442" s="11" t="s">
        <v>241</v>
      </c>
      <c r="L442" s="11" t="s">
        <v>241</v>
      </c>
      <c r="M442" s="11">
        <v>0.2989</v>
      </c>
      <c r="N442" s="11">
        <v>0.21909999999999999</v>
      </c>
    </row>
    <row r="443" spans="2:14" ht="15" customHeight="1" x14ac:dyDescent="0.25">
      <c r="B443" s="6" t="s">
        <v>1111</v>
      </c>
      <c r="C443" s="7" t="s">
        <v>1112</v>
      </c>
      <c r="D443" s="6" t="s">
        <v>240</v>
      </c>
      <c r="E443" s="6" t="s">
        <v>240</v>
      </c>
      <c r="F443" s="8">
        <v>4.9000000000000004</v>
      </c>
      <c r="G443" s="9">
        <v>1</v>
      </c>
      <c r="H443" s="9">
        <v>15</v>
      </c>
      <c r="I443" s="10">
        <v>0.88</v>
      </c>
      <c r="J443" s="11" t="s">
        <v>241</v>
      </c>
      <c r="K443" s="11" t="s">
        <v>241</v>
      </c>
      <c r="L443" s="11" t="s">
        <v>241</v>
      </c>
      <c r="M443" s="11">
        <v>1.1496999999999999</v>
      </c>
      <c r="N443" s="11">
        <v>0.2467</v>
      </c>
    </row>
    <row r="444" spans="2:14" ht="15" customHeight="1" x14ac:dyDescent="0.25">
      <c r="B444" s="6" t="s">
        <v>1113</v>
      </c>
      <c r="C444" s="7" t="s">
        <v>1114</v>
      </c>
      <c r="D444" s="6" t="s">
        <v>240</v>
      </c>
      <c r="E444" s="6" t="s">
        <v>240</v>
      </c>
      <c r="F444" s="8">
        <v>1.4</v>
      </c>
      <c r="G444" s="9">
        <v>1</v>
      </c>
      <c r="H444" s="9">
        <v>4</v>
      </c>
      <c r="I444" s="10">
        <v>1.49</v>
      </c>
      <c r="J444" s="11" t="s">
        <v>241</v>
      </c>
      <c r="K444" s="11" t="s">
        <v>241</v>
      </c>
      <c r="L444" s="11" t="s">
        <v>241</v>
      </c>
      <c r="M444" s="11">
        <v>0.2782</v>
      </c>
      <c r="N444" s="11">
        <v>0.19839999999999999</v>
      </c>
    </row>
    <row r="445" spans="2:14" ht="15" customHeight="1" x14ac:dyDescent="0.25">
      <c r="B445" s="6" t="s">
        <v>1115</v>
      </c>
      <c r="C445" s="7" t="s">
        <v>1116</v>
      </c>
      <c r="D445" s="6" t="s">
        <v>240</v>
      </c>
      <c r="E445" s="6" t="s">
        <v>240</v>
      </c>
      <c r="F445" s="8">
        <v>7.8</v>
      </c>
      <c r="G445" s="9">
        <v>2</v>
      </c>
      <c r="H445" s="9">
        <v>23</v>
      </c>
      <c r="I445" s="10">
        <v>1</v>
      </c>
      <c r="J445" s="11" t="s">
        <v>241</v>
      </c>
      <c r="K445" s="11">
        <v>0</v>
      </c>
      <c r="L445" s="11">
        <v>1.0208999999999999</v>
      </c>
      <c r="M445" s="11">
        <v>2.0417999999999998</v>
      </c>
      <c r="N445" s="11">
        <v>0.21210000000000001</v>
      </c>
    </row>
    <row r="446" spans="2:14" ht="15" customHeight="1" x14ac:dyDescent="0.25">
      <c r="B446" s="6" t="s">
        <v>1117</v>
      </c>
      <c r="C446" s="7" t="s">
        <v>1118</v>
      </c>
      <c r="D446" s="6" t="s">
        <v>240</v>
      </c>
      <c r="E446" s="6" t="s">
        <v>240</v>
      </c>
      <c r="F446" s="8">
        <v>2.4</v>
      </c>
      <c r="G446" s="9">
        <v>1</v>
      </c>
      <c r="H446" s="9">
        <v>7</v>
      </c>
      <c r="I446" s="10">
        <v>1.07</v>
      </c>
      <c r="J446" s="11" t="s">
        <v>241</v>
      </c>
      <c r="K446" s="11" t="s">
        <v>241</v>
      </c>
      <c r="L446" s="11" t="s">
        <v>241</v>
      </c>
      <c r="M446" s="11">
        <v>0.497</v>
      </c>
      <c r="N446" s="11">
        <v>0.22370000000000001</v>
      </c>
    </row>
    <row r="447" spans="2:14" ht="15" customHeight="1" x14ac:dyDescent="0.25">
      <c r="B447" s="6" t="s">
        <v>1119</v>
      </c>
      <c r="C447" s="7" t="s">
        <v>1120</v>
      </c>
      <c r="D447" s="6" t="s">
        <v>240</v>
      </c>
      <c r="E447" s="6" t="s">
        <v>240</v>
      </c>
      <c r="F447" s="8">
        <v>9.4</v>
      </c>
      <c r="G447" s="9">
        <v>3</v>
      </c>
      <c r="H447" s="9">
        <v>27</v>
      </c>
      <c r="I447" s="10">
        <v>1</v>
      </c>
      <c r="J447" s="11" t="s">
        <v>241</v>
      </c>
      <c r="K447" s="11">
        <v>0</v>
      </c>
      <c r="L447" s="11">
        <v>0.76759999999999995</v>
      </c>
      <c r="M447" s="11">
        <v>2.3028</v>
      </c>
      <c r="N447" s="11">
        <v>0.154</v>
      </c>
    </row>
    <row r="448" spans="2:14" ht="15" customHeight="1" x14ac:dyDescent="0.25">
      <c r="B448" s="6" t="s">
        <v>1121</v>
      </c>
      <c r="C448" s="7" t="s">
        <v>1122</v>
      </c>
      <c r="D448" s="6" t="s">
        <v>240</v>
      </c>
      <c r="E448" s="6" t="s">
        <v>240</v>
      </c>
      <c r="F448" s="8">
        <v>3.4</v>
      </c>
      <c r="G448" s="9">
        <v>1</v>
      </c>
      <c r="H448" s="9">
        <v>9</v>
      </c>
      <c r="I448" s="10">
        <v>1.1100000000000001</v>
      </c>
      <c r="J448" s="11" t="s">
        <v>241</v>
      </c>
      <c r="K448" s="11" t="s">
        <v>241</v>
      </c>
      <c r="L448" s="11" t="s">
        <v>241</v>
      </c>
      <c r="M448" s="11">
        <v>0.5383</v>
      </c>
      <c r="N448" s="11">
        <v>0.11550000000000001</v>
      </c>
    </row>
    <row r="449" spans="2:14" ht="15" customHeight="1" x14ac:dyDescent="0.25">
      <c r="B449" s="6" t="s">
        <v>1123</v>
      </c>
      <c r="C449" s="7" t="s">
        <v>1124</v>
      </c>
      <c r="D449" s="6" t="s">
        <v>240</v>
      </c>
      <c r="E449" s="6" t="s">
        <v>240</v>
      </c>
      <c r="F449" s="8">
        <v>4.3</v>
      </c>
      <c r="G449" s="9">
        <v>1</v>
      </c>
      <c r="H449" s="9">
        <v>13</v>
      </c>
      <c r="I449" s="10">
        <v>0.8</v>
      </c>
      <c r="J449" s="11" t="s">
        <v>241</v>
      </c>
      <c r="K449" s="11" t="s">
        <v>241</v>
      </c>
      <c r="L449" s="11" t="s">
        <v>241</v>
      </c>
      <c r="M449" s="11">
        <v>0.89419999999999999</v>
      </c>
      <c r="N449" s="11">
        <v>0.21759999999999999</v>
      </c>
    </row>
    <row r="450" spans="2:14" ht="15" customHeight="1" x14ac:dyDescent="0.25">
      <c r="B450" s="6" t="s">
        <v>1125</v>
      </c>
      <c r="C450" s="7" t="s">
        <v>1126</v>
      </c>
      <c r="D450" s="6" t="s">
        <v>240</v>
      </c>
      <c r="E450" s="6" t="s">
        <v>240</v>
      </c>
      <c r="F450" s="8">
        <v>1.2</v>
      </c>
      <c r="G450" s="9">
        <v>1</v>
      </c>
      <c r="H450" s="9">
        <v>3</v>
      </c>
      <c r="I450" s="10">
        <v>1.51</v>
      </c>
      <c r="J450" s="11" t="s">
        <v>241</v>
      </c>
      <c r="K450" s="11" t="s">
        <v>241</v>
      </c>
      <c r="L450" s="11" t="s">
        <v>241</v>
      </c>
      <c r="M450" s="11">
        <v>0.26200000000000001</v>
      </c>
      <c r="N450" s="11">
        <v>0.16350000000000001</v>
      </c>
    </row>
    <row r="451" spans="2:14" ht="15" customHeight="1" x14ac:dyDescent="0.25">
      <c r="B451" s="6" t="s">
        <v>1127</v>
      </c>
      <c r="C451" s="7" t="s">
        <v>1128</v>
      </c>
      <c r="D451" s="6" t="s">
        <v>240</v>
      </c>
      <c r="E451" s="6" t="s">
        <v>240</v>
      </c>
      <c r="F451" s="8">
        <v>9.5</v>
      </c>
      <c r="G451" s="9">
        <v>2</v>
      </c>
      <c r="H451" s="9">
        <v>26</v>
      </c>
      <c r="I451" s="10">
        <v>0.9</v>
      </c>
      <c r="J451" s="11" t="s">
        <v>241</v>
      </c>
      <c r="K451" s="11">
        <v>0</v>
      </c>
      <c r="L451" s="11">
        <v>1.1887000000000001</v>
      </c>
      <c r="M451" s="11">
        <v>2.3774000000000002</v>
      </c>
      <c r="N451" s="11">
        <v>0.19989999999999999</v>
      </c>
    </row>
    <row r="452" spans="2:14" ht="15" customHeight="1" x14ac:dyDescent="0.25">
      <c r="B452" s="6" t="s">
        <v>1129</v>
      </c>
      <c r="C452" s="7" t="s">
        <v>1130</v>
      </c>
      <c r="D452" s="6" t="s">
        <v>240</v>
      </c>
      <c r="E452" s="6" t="s">
        <v>240</v>
      </c>
      <c r="F452" s="8">
        <v>2.4</v>
      </c>
      <c r="G452" s="9">
        <v>1</v>
      </c>
      <c r="H452" s="9">
        <v>7</v>
      </c>
      <c r="I452" s="10">
        <v>1.27</v>
      </c>
      <c r="J452" s="11" t="s">
        <v>241</v>
      </c>
      <c r="K452" s="11" t="s">
        <v>241</v>
      </c>
      <c r="L452" s="11" t="s">
        <v>241</v>
      </c>
      <c r="M452" s="11">
        <v>0.51339999999999997</v>
      </c>
      <c r="N452" s="11">
        <v>0.23069999999999999</v>
      </c>
    </row>
    <row r="453" spans="2:14" ht="15" customHeight="1" x14ac:dyDescent="0.25">
      <c r="B453" s="6" t="s">
        <v>1131</v>
      </c>
      <c r="C453" s="7" t="s">
        <v>1132</v>
      </c>
      <c r="D453" s="6" t="s">
        <v>240</v>
      </c>
      <c r="E453" s="6" t="s">
        <v>240</v>
      </c>
      <c r="F453" s="8">
        <v>1.4</v>
      </c>
      <c r="G453" s="9">
        <v>1</v>
      </c>
      <c r="H453" s="9">
        <v>4</v>
      </c>
      <c r="I453" s="10">
        <v>1.36</v>
      </c>
      <c r="J453" s="11" t="s">
        <v>241</v>
      </c>
      <c r="K453" s="11" t="s">
        <v>241</v>
      </c>
      <c r="L453" s="11" t="s">
        <v>241</v>
      </c>
      <c r="M453" s="11">
        <v>0.2651</v>
      </c>
      <c r="N453" s="11">
        <v>0.1893</v>
      </c>
    </row>
    <row r="454" spans="2:14" ht="15" customHeight="1" x14ac:dyDescent="0.25">
      <c r="B454" s="6" t="s">
        <v>1133</v>
      </c>
      <c r="C454" s="7" t="s">
        <v>1134</v>
      </c>
      <c r="D454" s="6" t="s">
        <v>240</v>
      </c>
      <c r="E454" s="6" t="s">
        <v>240</v>
      </c>
      <c r="F454" s="8">
        <v>7.2</v>
      </c>
      <c r="G454" s="9">
        <v>2</v>
      </c>
      <c r="H454" s="9">
        <v>21</v>
      </c>
      <c r="I454" s="10">
        <v>0.8</v>
      </c>
      <c r="J454" s="11" t="s">
        <v>241</v>
      </c>
      <c r="K454" s="11">
        <v>0.1343</v>
      </c>
      <c r="L454" s="11">
        <v>0.96989999999999998</v>
      </c>
      <c r="M454" s="11">
        <v>2.0739999999999998</v>
      </c>
      <c r="N454" s="11">
        <v>0.19389999999999999</v>
      </c>
    </row>
    <row r="455" spans="2:14" ht="15" customHeight="1" x14ac:dyDescent="0.25">
      <c r="B455" s="6" t="s">
        <v>1135</v>
      </c>
      <c r="C455" s="7" t="s">
        <v>1136</v>
      </c>
      <c r="D455" s="6" t="s">
        <v>240</v>
      </c>
      <c r="E455" s="6" t="s">
        <v>240</v>
      </c>
      <c r="F455" s="8">
        <v>1.5</v>
      </c>
      <c r="G455" s="9">
        <v>1</v>
      </c>
      <c r="H455" s="9">
        <v>4</v>
      </c>
      <c r="I455" s="10">
        <v>1.33</v>
      </c>
      <c r="J455" s="11" t="s">
        <v>241</v>
      </c>
      <c r="K455" s="11" t="s">
        <v>241</v>
      </c>
      <c r="L455" s="11" t="s">
        <v>241</v>
      </c>
      <c r="M455" s="11">
        <v>0.29880000000000001</v>
      </c>
      <c r="N455" s="11">
        <v>0.21970000000000001</v>
      </c>
    </row>
    <row r="456" spans="2:14" ht="15" customHeight="1" x14ac:dyDescent="0.25">
      <c r="B456" s="6" t="s">
        <v>1137</v>
      </c>
      <c r="C456" s="7" t="s">
        <v>1138</v>
      </c>
      <c r="D456" s="6" t="s">
        <v>240</v>
      </c>
      <c r="E456" s="6" t="s">
        <v>240</v>
      </c>
      <c r="F456" s="8">
        <v>10.3</v>
      </c>
      <c r="G456" s="9">
        <v>3</v>
      </c>
      <c r="H456" s="9">
        <v>29</v>
      </c>
      <c r="I456" s="10">
        <v>1</v>
      </c>
      <c r="J456" s="11" t="s">
        <v>241</v>
      </c>
      <c r="K456" s="11">
        <v>0</v>
      </c>
      <c r="L456" s="11">
        <v>0.92579999999999996</v>
      </c>
      <c r="M456" s="11">
        <v>2.7774000000000001</v>
      </c>
      <c r="N456" s="11">
        <v>0.22289999999999999</v>
      </c>
    </row>
    <row r="457" spans="2:14" ht="15" customHeight="1" x14ac:dyDescent="0.25">
      <c r="B457" s="6" t="s">
        <v>1139</v>
      </c>
      <c r="C457" s="7" t="s">
        <v>1140</v>
      </c>
      <c r="D457" s="6" t="s">
        <v>240</v>
      </c>
      <c r="E457" s="6" t="s">
        <v>240</v>
      </c>
      <c r="F457" s="8">
        <v>4</v>
      </c>
      <c r="G457" s="9">
        <v>1</v>
      </c>
      <c r="H457" s="9">
        <v>12</v>
      </c>
      <c r="I457" s="10">
        <v>1.17</v>
      </c>
      <c r="J457" s="11" t="s">
        <v>241</v>
      </c>
      <c r="K457" s="11" t="s">
        <v>241</v>
      </c>
      <c r="L457" s="11" t="s">
        <v>241</v>
      </c>
      <c r="M457" s="11">
        <v>0.87680000000000002</v>
      </c>
      <c r="N457" s="11">
        <v>0.20930000000000001</v>
      </c>
    </row>
    <row r="458" spans="2:14" ht="15" customHeight="1" x14ac:dyDescent="0.25">
      <c r="B458" s="6" t="s">
        <v>1141</v>
      </c>
      <c r="C458" s="7" t="s">
        <v>1142</v>
      </c>
      <c r="D458" s="6" t="s">
        <v>240</v>
      </c>
      <c r="E458" s="6" t="s">
        <v>240</v>
      </c>
      <c r="F458" s="8">
        <v>11.2</v>
      </c>
      <c r="G458" s="9">
        <v>3</v>
      </c>
      <c r="H458" s="9">
        <v>34</v>
      </c>
      <c r="I458" s="10">
        <v>1</v>
      </c>
      <c r="J458" s="11" t="s">
        <v>241</v>
      </c>
      <c r="K458" s="11">
        <v>0</v>
      </c>
      <c r="L458" s="11">
        <v>0.98340000000000005</v>
      </c>
      <c r="M458" s="11">
        <v>2.9502999999999999</v>
      </c>
      <c r="N458" s="11">
        <v>0.21560000000000001</v>
      </c>
    </row>
    <row r="459" spans="2:14" ht="15" customHeight="1" x14ac:dyDescent="0.25">
      <c r="B459" s="6" t="s">
        <v>1143</v>
      </c>
      <c r="C459" s="7" t="s">
        <v>1144</v>
      </c>
      <c r="D459" s="6" t="s">
        <v>240</v>
      </c>
      <c r="E459" s="6" t="s">
        <v>240</v>
      </c>
      <c r="F459" s="8">
        <v>4.7</v>
      </c>
      <c r="G459" s="9">
        <v>1</v>
      </c>
      <c r="H459" s="9">
        <v>13</v>
      </c>
      <c r="I459" s="10">
        <v>1</v>
      </c>
      <c r="J459" s="11" t="s">
        <v>241</v>
      </c>
      <c r="K459" s="11" t="s">
        <v>241</v>
      </c>
      <c r="L459" s="11" t="s">
        <v>241</v>
      </c>
      <c r="M459" s="11">
        <v>1.0484</v>
      </c>
      <c r="N459" s="11">
        <v>0.2092</v>
      </c>
    </row>
    <row r="460" spans="2:14" ht="15" customHeight="1" x14ac:dyDescent="0.25">
      <c r="B460" s="6" t="s">
        <v>1145</v>
      </c>
      <c r="C460" s="7" t="s">
        <v>1146</v>
      </c>
      <c r="D460" s="6" t="s">
        <v>240</v>
      </c>
      <c r="E460" s="6" t="s">
        <v>240</v>
      </c>
      <c r="F460" s="8">
        <v>10.9</v>
      </c>
      <c r="G460" s="9">
        <v>3</v>
      </c>
      <c r="H460" s="9">
        <v>33</v>
      </c>
      <c r="I460" s="10">
        <v>1</v>
      </c>
      <c r="J460" s="11" t="s">
        <v>241</v>
      </c>
      <c r="K460" s="11">
        <v>0</v>
      </c>
      <c r="L460" s="11">
        <v>1.0281</v>
      </c>
      <c r="M460" s="11">
        <v>3.0842999999999998</v>
      </c>
      <c r="N460" s="11">
        <v>0.2515</v>
      </c>
    </row>
    <row r="461" spans="2:14" ht="15" customHeight="1" x14ac:dyDescent="0.25">
      <c r="B461" s="6" t="s">
        <v>1147</v>
      </c>
      <c r="C461" s="7" t="s">
        <v>1148</v>
      </c>
      <c r="D461" s="6" t="s">
        <v>240</v>
      </c>
      <c r="E461" s="6" t="s">
        <v>240</v>
      </c>
      <c r="F461" s="8">
        <v>4.2</v>
      </c>
      <c r="G461" s="9">
        <v>1</v>
      </c>
      <c r="H461" s="9">
        <v>13</v>
      </c>
      <c r="I461" s="10">
        <v>0.8</v>
      </c>
      <c r="J461" s="11" t="s">
        <v>241</v>
      </c>
      <c r="K461" s="11" t="s">
        <v>241</v>
      </c>
      <c r="L461" s="11" t="s">
        <v>241</v>
      </c>
      <c r="M461" s="11">
        <v>1.0670999999999999</v>
      </c>
      <c r="N461" s="11">
        <v>0.24579999999999999</v>
      </c>
    </row>
    <row r="462" spans="2:14" ht="15" customHeight="1" x14ac:dyDescent="0.25">
      <c r="B462" s="6" t="s">
        <v>1149</v>
      </c>
      <c r="C462" s="7" t="s">
        <v>1150</v>
      </c>
      <c r="D462" s="6" t="s">
        <v>240</v>
      </c>
      <c r="E462" s="6" t="s">
        <v>240</v>
      </c>
      <c r="F462" s="8">
        <v>1</v>
      </c>
      <c r="G462" s="9">
        <v>1</v>
      </c>
      <c r="H462" s="9">
        <v>1</v>
      </c>
      <c r="I462" s="10">
        <v>1</v>
      </c>
      <c r="J462" s="11" t="s">
        <v>241</v>
      </c>
      <c r="K462" s="11" t="s">
        <v>241</v>
      </c>
      <c r="L462" s="11" t="s">
        <v>241</v>
      </c>
      <c r="M462" s="11">
        <v>0.27689999999999998</v>
      </c>
      <c r="N462" s="11" t="s">
        <v>241</v>
      </c>
    </row>
    <row r="463" spans="2:14" ht="15" customHeight="1" x14ac:dyDescent="0.25">
      <c r="B463" s="6" t="s">
        <v>1151</v>
      </c>
      <c r="C463" s="7" t="s">
        <v>1152</v>
      </c>
      <c r="D463" s="6" t="s">
        <v>240</v>
      </c>
      <c r="E463" s="6" t="s">
        <v>240</v>
      </c>
      <c r="F463" s="8">
        <v>12</v>
      </c>
      <c r="G463" s="9">
        <v>3</v>
      </c>
      <c r="H463" s="9">
        <v>36</v>
      </c>
      <c r="I463" s="10">
        <v>1</v>
      </c>
      <c r="J463" s="11" t="s">
        <v>241</v>
      </c>
      <c r="K463" s="11">
        <v>3.6391</v>
      </c>
      <c r="L463" s="11">
        <v>1.9056</v>
      </c>
      <c r="M463" s="11">
        <v>9.3559000000000001</v>
      </c>
      <c r="N463" s="11">
        <v>0.31269999999999998</v>
      </c>
    </row>
    <row r="464" spans="2:14" ht="15" customHeight="1" x14ac:dyDescent="0.25">
      <c r="B464" s="6" t="s">
        <v>1153</v>
      </c>
      <c r="C464" s="7" t="s">
        <v>1154</v>
      </c>
      <c r="D464" s="6" t="s">
        <v>240</v>
      </c>
      <c r="E464" s="6" t="s">
        <v>240</v>
      </c>
      <c r="F464" s="8">
        <v>7.2</v>
      </c>
      <c r="G464" s="9">
        <v>2</v>
      </c>
      <c r="H464" s="9">
        <v>23</v>
      </c>
      <c r="I464" s="10">
        <v>1</v>
      </c>
      <c r="J464" s="11" t="s">
        <v>241</v>
      </c>
      <c r="K464" s="11">
        <v>3.9670999999999998</v>
      </c>
      <c r="L464" s="11">
        <v>1.7079</v>
      </c>
      <c r="M464" s="11">
        <v>7.383</v>
      </c>
      <c r="N464" s="11">
        <v>0.21460000000000001</v>
      </c>
    </row>
    <row r="465" spans="2:14" ht="15" customHeight="1" x14ac:dyDescent="0.25">
      <c r="B465" s="6" t="s">
        <v>1155</v>
      </c>
      <c r="C465" s="7" t="s">
        <v>1156</v>
      </c>
      <c r="D465" s="6" t="s">
        <v>240</v>
      </c>
      <c r="E465" s="6" t="s">
        <v>240</v>
      </c>
      <c r="F465" s="8">
        <v>6.2</v>
      </c>
      <c r="G465" s="9">
        <v>2</v>
      </c>
      <c r="H465" s="9">
        <v>19</v>
      </c>
      <c r="I465" s="10">
        <v>1</v>
      </c>
      <c r="J465" s="11" t="s">
        <v>241</v>
      </c>
      <c r="K465" s="11">
        <v>1.0482</v>
      </c>
      <c r="L465" s="11">
        <v>1.2372000000000001</v>
      </c>
      <c r="M465" s="11">
        <v>3.5226999999999999</v>
      </c>
      <c r="N465" s="11">
        <v>0.1726</v>
      </c>
    </row>
    <row r="466" spans="2:14" ht="15" customHeight="1" x14ac:dyDescent="0.25">
      <c r="B466" s="6" t="s">
        <v>1157</v>
      </c>
      <c r="C466" s="7" t="s">
        <v>1158</v>
      </c>
      <c r="D466" s="6" t="s">
        <v>240</v>
      </c>
      <c r="E466" s="6" t="s">
        <v>240</v>
      </c>
      <c r="F466" s="8">
        <v>2.8</v>
      </c>
      <c r="G466" s="9">
        <v>1</v>
      </c>
      <c r="H466" s="9">
        <v>8</v>
      </c>
      <c r="I466" s="10">
        <v>1</v>
      </c>
      <c r="J466" s="11" t="s">
        <v>241</v>
      </c>
      <c r="K466" s="11" t="s">
        <v>241</v>
      </c>
      <c r="L466" s="11" t="s">
        <v>241</v>
      </c>
      <c r="M466" s="11">
        <v>2.0381</v>
      </c>
      <c r="N466" s="11">
        <v>0.18920000000000001</v>
      </c>
    </row>
    <row r="467" spans="2:14" ht="15" customHeight="1" x14ac:dyDescent="0.25">
      <c r="B467" s="6" t="s">
        <v>1159</v>
      </c>
      <c r="C467" s="7" t="s">
        <v>1160</v>
      </c>
      <c r="D467" s="6" t="s">
        <v>240</v>
      </c>
      <c r="E467" s="6" t="s">
        <v>240</v>
      </c>
      <c r="F467" s="8">
        <v>1.1000000000000001</v>
      </c>
      <c r="G467" s="9">
        <v>1</v>
      </c>
      <c r="H467" s="9">
        <v>3</v>
      </c>
      <c r="I467" s="10">
        <v>1</v>
      </c>
      <c r="J467" s="11" t="s">
        <v>241</v>
      </c>
      <c r="K467" s="11" t="s">
        <v>241</v>
      </c>
      <c r="L467" s="11" t="s">
        <v>241</v>
      </c>
      <c r="M467" s="11">
        <v>1.0246999999999999</v>
      </c>
      <c r="N467" s="11">
        <v>0.46510000000000001</v>
      </c>
    </row>
    <row r="468" spans="2:14" ht="15" customHeight="1" x14ac:dyDescent="0.25">
      <c r="B468" s="6" t="s">
        <v>1161</v>
      </c>
      <c r="C468" s="7" t="s">
        <v>1162</v>
      </c>
      <c r="D468" s="6" t="s">
        <v>240</v>
      </c>
      <c r="E468" s="6" t="s">
        <v>240</v>
      </c>
      <c r="F468" s="8">
        <v>12.9</v>
      </c>
      <c r="G468" s="9">
        <v>4</v>
      </c>
      <c r="H468" s="9">
        <v>36</v>
      </c>
      <c r="I468" s="10">
        <v>1.1100000000000001</v>
      </c>
      <c r="J468" s="11" t="s">
        <v>241</v>
      </c>
      <c r="K468" s="11">
        <v>0.58379999999999999</v>
      </c>
      <c r="L468" s="11">
        <v>1.0221</v>
      </c>
      <c r="M468" s="11">
        <v>4.6722999999999999</v>
      </c>
      <c r="N468" s="11">
        <v>0.23580000000000001</v>
      </c>
    </row>
    <row r="469" spans="2:14" ht="15" customHeight="1" x14ac:dyDescent="0.25">
      <c r="B469" s="6" t="s">
        <v>1163</v>
      </c>
      <c r="C469" s="7" t="s">
        <v>1164</v>
      </c>
      <c r="D469" s="6" t="s">
        <v>290</v>
      </c>
      <c r="E469" s="6" t="s">
        <v>240</v>
      </c>
      <c r="F469" s="8">
        <v>3.7</v>
      </c>
      <c r="G469" s="9">
        <v>1</v>
      </c>
      <c r="H469" s="9">
        <v>12</v>
      </c>
      <c r="I469" s="10">
        <v>1.23</v>
      </c>
      <c r="J469" s="11">
        <v>0.76729999999999998</v>
      </c>
      <c r="K469" s="11" t="s">
        <v>241</v>
      </c>
      <c r="L469" s="11" t="s">
        <v>241</v>
      </c>
      <c r="M469" s="11">
        <v>1.506</v>
      </c>
      <c r="N469" s="11">
        <v>0.19400000000000001</v>
      </c>
    </row>
    <row r="470" spans="2:14" ht="15" customHeight="1" x14ac:dyDescent="0.25">
      <c r="B470" s="6" t="s">
        <v>1165</v>
      </c>
      <c r="C470" s="7" t="s">
        <v>1166</v>
      </c>
      <c r="D470" s="6" t="s">
        <v>240</v>
      </c>
      <c r="E470" s="6" t="s">
        <v>240</v>
      </c>
      <c r="F470" s="8">
        <v>1.4</v>
      </c>
      <c r="G470" s="9">
        <v>1</v>
      </c>
      <c r="H470" s="9">
        <v>4</v>
      </c>
      <c r="I470" s="10">
        <v>1.29</v>
      </c>
      <c r="J470" s="11" t="s">
        <v>241</v>
      </c>
      <c r="K470" s="11" t="s">
        <v>241</v>
      </c>
      <c r="L470" s="11" t="s">
        <v>241</v>
      </c>
      <c r="M470" s="11">
        <v>0.73119999999999996</v>
      </c>
      <c r="N470" s="11">
        <v>0.2606</v>
      </c>
    </row>
    <row r="471" spans="2:14" ht="15" customHeight="1" x14ac:dyDescent="0.25">
      <c r="B471" s="6" t="s">
        <v>1167</v>
      </c>
      <c r="C471" s="7" t="s">
        <v>1168</v>
      </c>
      <c r="D471" s="6" t="s">
        <v>240</v>
      </c>
      <c r="E471" s="6" t="s">
        <v>240</v>
      </c>
      <c r="F471" s="8">
        <v>2.2999999999999998</v>
      </c>
      <c r="G471" s="9">
        <v>1</v>
      </c>
      <c r="H471" s="9">
        <v>7</v>
      </c>
      <c r="I471" s="10">
        <v>1.55</v>
      </c>
      <c r="J471" s="11" t="s">
        <v>241</v>
      </c>
      <c r="K471" s="11" t="s">
        <v>241</v>
      </c>
      <c r="L471" s="11" t="s">
        <v>241</v>
      </c>
      <c r="M471" s="11">
        <v>0.82199999999999995</v>
      </c>
      <c r="N471" s="11">
        <v>0.10639999999999999</v>
      </c>
    </row>
    <row r="472" spans="2:14" ht="15" customHeight="1" x14ac:dyDescent="0.25">
      <c r="B472" s="6" t="s">
        <v>1169</v>
      </c>
      <c r="C472" s="7" t="s">
        <v>1170</v>
      </c>
      <c r="D472" s="6" t="s">
        <v>290</v>
      </c>
      <c r="E472" s="6" t="s">
        <v>240</v>
      </c>
      <c r="F472" s="8">
        <v>3.3</v>
      </c>
      <c r="G472" s="9">
        <v>1</v>
      </c>
      <c r="H472" s="9">
        <v>12</v>
      </c>
      <c r="I472" s="10">
        <v>1</v>
      </c>
      <c r="J472" s="11">
        <v>0.78320000000000001</v>
      </c>
      <c r="K472" s="11" t="s">
        <v>241</v>
      </c>
      <c r="L472" s="11" t="s">
        <v>241</v>
      </c>
      <c r="M472" s="11">
        <v>1.9845999999999999</v>
      </c>
      <c r="N472" s="11">
        <v>0.27950000000000003</v>
      </c>
    </row>
    <row r="473" spans="2:14" ht="15" customHeight="1" x14ac:dyDescent="0.25">
      <c r="B473" s="6" t="s">
        <v>1171</v>
      </c>
      <c r="C473" s="7" t="s">
        <v>1172</v>
      </c>
      <c r="D473" s="6" t="s">
        <v>240</v>
      </c>
      <c r="E473" s="6" t="s">
        <v>240</v>
      </c>
      <c r="F473" s="8">
        <v>1</v>
      </c>
      <c r="G473" s="9">
        <v>1</v>
      </c>
      <c r="H473" s="9">
        <v>3</v>
      </c>
      <c r="I473" s="10">
        <v>1</v>
      </c>
      <c r="J473" s="11" t="s">
        <v>241</v>
      </c>
      <c r="K473" s="11" t="s">
        <v>241</v>
      </c>
      <c r="L473" s="11" t="s">
        <v>241</v>
      </c>
      <c r="M473" s="11">
        <v>0.66610000000000003</v>
      </c>
      <c r="N473" s="11">
        <v>0.24249999999999999</v>
      </c>
    </row>
    <row r="474" spans="2:14" ht="15" customHeight="1" x14ac:dyDescent="0.25">
      <c r="B474" s="6" t="s">
        <v>1173</v>
      </c>
      <c r="C474" s="7" t="s">
        <v>1174</v>
      </c>
      <c r="D474" s="6" t="s">
        <v>290</v>
      </c>
      <c r="E474" s="6" t="s">
        <v>240</v>
      </c>
      <c r="F474" s="8">
        <v>4.4000000000000004</v>
      </c>
      <c r="G474" s="9">
        <v>1</v>
      </c>
      <c r="H474" s="9">
        <v>12</v>
      </c>
      <c r="I474" s="10">
        <v>1</v>
      </c>
      <c r="J474" s="11">
        <v>0.62739999999999996</v>
      </c>
      <c r="K474" s="11" t="s">
        <v>241</v>
      </c>
      <c r="L474" s="11" t="s">
        <v>241</v>
      </c>
      <c r="M474" s="11">
        <v>1.4510000000000001</v>
      </c>
      <c r="N474" s="11">
        <v>0.20469999999999999</v>
      </c>
    </row>
    <row r="475" spans="2:14" ht="15" customHeight="1" x14ac:dyDescent="0.25">
      <c r="B475" s="6" t="s">
        <v>1175</v>
      </c>
      <c r="C475" s="7" t="s">
        <v>1176</v>
      </c>
      <c r="D475" s="6" t="s">
        <v>240</v>
      </c>
      <c r="E475" s="6" t="s">
        <v>240</v>
      </c>
      <c r="F475" s="8">
        <v>1</v>
      </c>
      <c r="G475" s="9">
        <v>1</v>
      </c>
      <c r="H475" s="9">
        <v>3</v>
      </c>
      <c r="I475" s="10">
        <v>1.17</v>
      </c>
      <c r="J475" s="11" t="s">
        <v>241</v>
      </c>
      <c r="K475" s="11" t="s">
        <v>241</v>
      </c>
      <c r="L475" s="11" t="s">
        <v>241</v>
      </c>
      <c r="M475" s="11">
        <v>0.50529999999999997</v>
      </c>
      <c r="N475" s="11">
        <v>0.19209999999999999</v>
      </c>
    </row>
    <row r="476" spans="2:14" ht="15" customHeight="1" x14ac:dyDescent="0.25">
      <c r="B476" s="6" t="s">
        <v>1177</v>
      </c>
      <c r="C476" s="7" t="s">
        <v>1178</v>
      </c>
      <c r="D476" s="6" t="s">
        <v>240</v>
      </c>
      <c r="E476" s="6" t="s">
        <v>240</v>
      </c>
      <c r="F476" s="8">
        <v>16.100000000000001</v>
      </c>
      <c r="G476" s="9">
        <v>5</v>
      </c>
      <c r="H476" s="9">
        <v>45</v>
      </c>
      <c r="I476" s="10">
        <v>1</v>
      </c>
      <c r="J476" s="11" t="s">
        <v>241</v>
      </c>
      <c r="K476" s="11">
        <v>0.29980000000000001</v>
      </c>
      <c r="L476" s="11">
        <v>0.94489999999999996</v>
      </c>
      <c r="M476" s="11">
        <v>5.0244999999999997</v>
      </c>
      <c r="N476" s="11">
        <v>0.2525</v>
      </c>
    </row>
    <row r="477" spans="2:14" ht="15" customHeight="1" x14ac:dyDescent="0.25">
      <c r="B477" s="6" t="s">
        <v>1179</v>
      </c>
      <c r="C477" s="7" t="s">
        <v>1180</v>
      </c>
      <c r="D477" s="6" t="s">
        <v>240</v>
      </c>
      <c r="E477" s="6" t="s">
        <v>240</v>
      </c>
      <c r="F477" s="8">
        <v>3.9</v>
      </c>
      <c r="G477" s="9">
        <v>1</v>
      </c>
      <c r="H477" s="9">
        <v>12</v>
      </c>
      <c r="I477" s="10">
        <v>1.1299999999999999</v>
      </c>
      <c r="J477" s="11" t="s">
        <v>241</v>
      </c>
      <c r="K477" s="11" t="s">
        <v>241</v>
      </c>
      <c r="L477" s="11" t="s">
        <v>241</v>
      </c>
      <c r="M477" s="11">
        <v>1.0875999999999999</v>
      </c>
      <c r="N477" s="11">
        <v>0.23080000000000001</v>
      </c>
    </row>
    <row r="478" spans="2:14" ht="15" customHeight="1" x14ac:dyDescent="0.25">
      <c r="B478" s="6" t="s">
        <v>1181</v>
      </c>
      <c r="C478" s="7" t="s">
        <v>1182</v>
      </c>
      <c r="D478" s="6" t="s">
        <v>290</v>
      </c>
      <c r="E478" s="6" t="s">
        <v>240</v>
      </c>
      <c r="F478" s="8">
        <v>8.6</v>
      </c>
      <c r="G478" s="9">
        <v>2</v>
      </c>
      <c r="H478" s="9">
        <v>26</v>
      </c>
      <c r="I478" s="10">
        <v>1</v>
      </c>
      <c r="J478" s="11">
        <v>0.83530000000000004</v>
      </c>
      <c r="K478" s="11">
        <v>0.6028</v>
      </c>
      <c r="L478" s="11">
        <v>1.2834000000000001</v>
      </c>
      <c r="M478" s="11">
        <v>3.1697000000000002</v>
      </c>
      <c r="N478" s="11">
        <v>0.2495</v>
      </c>
    </row>
    <row r="479" spans="2:14" ht="15" customHeight="1" x14ac:dyDescent="0.25">
      <c r="B479" s="6" t="s">
        <v>1183</v>
      </c>
      <c r="C479" s="7" t="s">
        <v>1184</v>
      </c>
      <c r="D479" s="6" t="s">
        <v>290</v>
      </c>
      <c r="E479" s="6" t="s">
        <v>240</v>
      </c>
      <c r="F479" s="8">
        <v>3.5</v>
      </c>
      <c r="G479" s="9">
        <v>1</v>
      </c>
      <c r="H479" s="9">
        <v>12</v>
      </c>
      <c r="I479" s="10">
        <v>0.85</v>
      </c>
      <c r="J479" s="11">
        <v>0.64039999999999997</v>
      </c>
      <c r="K479" s="11" t="s">
        <v>241</v>
      </c>
      <c r="L479" s="11" t="s">
        <v>241</v>
      </c>
      <c r="M479" s="11">
        <v>1.4477</v>
      </c>
      <c r="N479" s="11">
        <v>0.18090000000000001</v>
      </c>
    </row>
    <row r="480" spans="2:14" ht="15" customHeight="1" x14ac:dyDescent="0.25">
      <c r="B480" s="6" t="s">
        <v>1185</v>
      </c>
      <c r="C480" s="7" t="s">
        <v>1186</v>
      </c>
      <c r="D480" s="6" t="s">
        <v>240</v>
      </c>
      <c r="E480" s="6" t="s">
        <v>240</v>
      </c>
      <c r="F480" s="8">
        <v>4.7</v>
      </c>
      <c r="G480" s="9">
        <v>2</v>
      </c>
      <c r="H480" s="9">
        <v>19</v>
      </c>
      <c r="I480" s="10">
        <v>1</v>
      </c>
      <c r="J480" s="11" t="s">
        <v>241</v>
      </c>
      <c r="K480" s="11">
        <v>0.82079999999999997</v>
      </c>
      <c r="L480" s="11">
        <v>2.0699000000000001</v>
      </c>
      <c r="M480" s="11">
        <v>4.9604999999999997</v>
      </c>
      <c r="N480" s="11">
        <v>0.43580000000000002</v>
      </c>
    </row>
    <row r="481" spans="2:14" ht="15" customHeight="1" x14ac:dyDescent="0.25">
      <c r="B481" s="6" t="s">
        <v>1187</v>
      </c>
      <c r="C481" s="7" t="s">
        <v>1188</v>
      </c>
      <c r="D481" s="6" t="s">
        <v>240</v>
      </c>
      <c r="E481" s="6" t="s">
        <v>240</v>
      </c>
      <c r="F481" s="8">
        <v>13.9</v>
      </c>
      <c r="G481" s="9">
        <v>3</v>
      </c>
      <c r="H481" s="9">
        <v>32</v>
      </c>
      <c r="I481" s="10">
        <v>1</v>
      </c>
      <c r="J481" s="11" t="s">
        <v>241</v>
      </c>
      <c r="K481" s="11">
        <v>0</v>
      </c>
      <c r="L481" s="11">
        <v>0.99639999999999995</v>
      </c>
      <c r="M481" s="11">
        <v>2.9891999999999999</v>
      </c>
      <c r="N481" s="11">
        <v>0.22750000000000001</v>
      </c>
    </row>
    <row r="482" spans="2:14" ht="15" customHeight="1" x14ac:dyDescent="0.25">
      <c r="B482" s="6" t="s">
        <v>1189</v>
      </c>
      <c r="C482" s="7" t="s">
        <v>1190</v>
      </c>
      <c r="D482" s="6" t="s">
        <v>290</v>
      </c>
      <c r="E482" s="6" t="s">
        <v>240</v>
      </c>
      <c r="F482" s="8">
        <v>5.6</v>
      </c>
      <c r="G482" s="9">
        <v>1</v>
      </c>
      <c r="H482" s="9">
        <v>15</v>
      </c>
      <c r="I482" s="10">
        <v>1</v>
      </c>
      <c r="J482" s="11">
        <v>0.1762</v>
      </c>
      <c r="K482" s="11" t="s">
        <v>241</v>
      </c>
      <c r="L482" s="11" t="s">
        <v>241</v>
      </c>
      <c r="M482" s="11">
        <v>1.1151</v>
      </c>
      <c r="N482" s="11">
        <v>0.19120000000000001</v>
      </c>
    </row>
    <row r="483" spans="2:14" ht="15" customHeight="1" x14ac:dyDescent="0.25">
      <c r="B483" s="6" t="s">
        <v>1191</v>
      </c>
      <c r="C483" s="7" t="s">
        <v>1192</v>
      </c>
      <c r="D483" s="6" t="s">
        <v>290</v>
      </c>
      <c r="E483" s="6" t="s">
        <v>240</v>
      </c>
      <c r="F483" s="8">
        <v>4.2</v>
      </c>
      <c r="G483" s="9">
        <v>1</v>
      </c>
      <c r="H483" s="9">
        <v>14</v>
      </c>
      <c r="I483" s="10">
        <v>1</v>
      </c>
      <c r="J483" s="11">
        <v>0.15609999999999999</v>
      </c>
      <c r="K483" s="11" t="s">
        <v>241</v>
      </c>
      <c r="L483" s="11" t="s">
        <v>241</v>
      </c>
      <c r="M483" s="11">
        <v>0.73070000000000002</v>
      </c>
      <c r="N483" s="11">
        <v>0.14349999999999999</v>
      </c>
    </row>
    <row r="484" spans="2:14" ht="15" customHeight="1" x14ac:dyDescent="0.25">
      <c r="B484" s="6" t="s">
        <v>1193</v>
      </c>
      <c r="C484" s="7" t="s">
        <v>1194</v>
      </c>
      <c r="D484" s="6" t="s">
        <v>240</v>
      </c>
      <c r="E484" s="6" t="s">
        <v>240</v>
      </c>
      <c r="F484" s="8">
        <v>10</v>
      </c>
      <c r="G484" s="9">
        <v>3</v>
      </c>
      <c r="H484" s="9">
        <v>30</v>
      </c>
      <c r="I484" s="10">
        <v>1</v>
      </c>
      <c r="J484" s="11" t="s">
        <v>241</v>
      </c>
      <c r="K484" s="11">
        <v>0</v>
      </c>
      <c r="L484" s="11">
        <v>0.99590000000000001</v>
      </c>
      <c r="M484" s="11">
        <v>2.9878</v>
      </c>
      <c r="N484" s="11">
        <v>0.24640000000000001</v>
      </c>
    </row>
    <row r="485" spans="2:14" ht="15" customHeight="1" x14ac:dyDescent="0.25">
      <c r="B485" s="6" t="s">
        <v>1195</v>
      </c>
      <c r="C485" s="7" t="s">
        <v>1196</v>
      </c>
      <c r="D485" s="6" t="s">
        <v>290</v>
      </c>
      <c r="E485" s="6" t="s">
        <v>240</v>
      </c>
      <c r="F485" s="8">
        <v>5.4</v>
      </c>
      <c r="G485" s="9">
        <v>1</v>
      </c>
      <c r="H485" s="9">
        <v>16</v>
      </c>
      <c r="I485" s="10">
        <v>1</v>
      </c>
      <c r="J485" s="11">
        <v>0.19270000000000001</v>
      </c>
      <c r="K485" s="11" t="s">
        <v>241</v>
      </c>
      <c r="L485" s="11" t="s">
        <v>241</v>
      </c>
      <c r="M485" s="11">
        <v>1.0049999999999999</v>
      </c>
      <c r="N485" s="11">
        <v>0.1293</v>
      </c>
    </row>
    <row r="486" spans="2:14" ht="15" customHeight="1" x14ac:dyDescent="0.25">
      <c r="B486" s="6" t="s">
        <v>1197</v>
      </c>
      <c r="C486" s="7" t="s">
        <v>1198</v>
      </c>
      <c r="D486" s="6" t="s">
        <v>290</v>
      </c>
      <c r="E486" s="6" t="s">
        <v>240</v>
      </c>
      <c r="F486" s="8">
        <v>3</v>
      </c>
      <c r="G486" s="9">
        <v>1</v>
      </c>
      <c r="H486" s="9">
        <v>9</v>
      </c>
      <c r="I486" s="10">
        <v>1.1200000000000001</v>
      </c>
      <c r="J486" s="11">
        <v>0.2586</v>
      </c>
      <c r="K486" s="11" t="s">
        <v>241</v>
      </c>
      <c r="L486" s="11" t="s">
        <v>241</v>
      </c>
      <c r="M486" s="11">
        <v>0.7883</v>
      </c>
      <c r="N486" s="11">
        <v>0.1802</v>
      </c>
    </row>
    <row r="487" spans="2:14" ht="15" customHeight="1" x14ac:dyDescent="0.25">
      <c r="B487" s="6" t="s">
        <v>1199</v>
      </c>
      <c r="C487" s="7" t="s">
        <v>1200</v>
      </c>
      <c r="D487" s="6" t="s">
        <v>240</v>
      </c>
      <c r="E487" s="6" t="s">
        <v>240</v>
      </c>
      <c r="F487" s="8">
        <v>6.1</v>
      </c>
      <c r="G487" s="9">
        <v>2</v>
      </c>
      <c r="H487" s="9">
        <v>18</v>
      </c>
      <c r="I487" s="10">
        <v>1</v>
      </c>
      <c r="J487" s="11" t="s">
        <v>241</v>
      </c>
      <c r="K487" s="11">
        <v>7.6799999999999993E-2</v>
      </c>
      <c r="L487" s="11">
        <v>0.77929999999999999</v>
      </c>
      <c r="M487" s="11">
        <v>1.6353</v>
      </c>
      <c r="N487" s="11">
        <v>0.21110000000000001</v>
      </c>
    </row>
    <row r="488" spans="2:14" ht="15" customHeight="1" x14ac:dyDescent="0.25">
      <c r="B488" s="6" t="s">
        <v>1201</v>
      </c>
      <c r="C488" s="7" t="s">
        <v>1202</v>
      </c>
      <c r="D488" s="6" t="s">
        <v>290</v>
      </c>
      <c r="E488" s="6" t="s">
        <v>240</v>
      </c>
      <c r="F488" s="8">
        <v>2.9</v>
      </c>
      <c r="G488" s="9">
        <v>1</v>
      </c>
      <c r="H488" s="9">
        <v>9</v>
      </c>
      <c r="I488" s="10">
        <v>1.31</v>
      </c>
      <c r="J488" s="11">
        <v>0.2137</v>
      </c>
      <c r="K488" s="11" t="s">
        <v>241</v>
      </c>
      <c r="L488" s="11" t="s">
        <v>241</v>
      </c>
      <c r="M488" s="11">
        <v>0.70589999999999997</v>
      </c>
      <c r="N488" s="11">
        <v>0.13519999999999999</v>
      </c>
    </row>
    <row r="489" spans="2:14" ht="15" customHeight="1" x14ac:dyDescent="0.25">
      <c r="B489" s="6" t="s">
        <v>1203</v>
      </c>
      <c r="C489" s="7" t="s">
        <v>1204</v>
      </c>
      <c r="D489" s="6" t="s">
        <v>240</v>
      </c>
      <c r="E489" s="6" t="s">
        <v>240</v>
      </c>
      <c r="F489" s="8">
        <v>6.4</v>
      </c>
      <c r="G489" s="9">
        <v>2</v>
      </c>
      <c r="H489" s="9">
        <v>19</v>
      </c>
      <c r="I489" s="10">
        <v>0.8</v>
      </c>
      <c r="J489" s="11" t="s">
        <v>241</v>
      </c>
      <c r="K489" s="11">
        <v>0</v>
      </c>
      <c r="L489" s="11">
        <v>0.86109999999999998</v>
      </c>
      <c r="M489" s="11">
        <v>1.7222</v>
      </c>
      <c r="N489" s="11">
        <v>0.1991</v>
      </c>
    </row>
    <row r="490" spans="2:14" ht="15" customHeight="1" x14ac:dyDescent="0.25">
      <c r="B490" s="6" t="s">
        <v>1205</v>
      </c>
      <c r="C490" s="7" t="s">
        <v>1206</v>
      </c>
      <c r="D490" s="6" t="s">
        <v>240</v>
      </c>
      <c r="E490" s="6" t="s">
        <v>240</v>
      </c>
      <c r="F490" s="8">
        <v>1.3</v>
      </c>
      <c r="G490" s="9">
        <v>1</v>
      </c>
      <c r="H490" s="9">
        <v>4</v>
      </c>
      <c r="I490" s="10">
        <v>1.38</v>
      </c>
      <c r="J490" s="11" t="s">
        <v>241</v>
      </c>
      <c r="K490" s="11" t="s">
        <v>241</v>
      </c>
      <c r="L490" s="11" t="s">
        <v>241</v>
      </c>
      <c r="M490" s="11">
        <v>0.25159999999999999</v>
      </c>
      <c r="N490" s="11">
        <v>0.1822</v>
      </c>
    </row>
    <row r="491" spans="2:14" ht="15" customHeight="1" x14ac:dyDescent="0.25">
      <c r="B491" s="6" t="s">
        <v>1207</v>
      </c>
      <c r="C491" s="7" t="s">
        <v>1208</v>
      </c>
      <c r="D491" s="6" t="s">
        <v>290</v>
      </c>
      <c r="E491" s="6" t="s">
        <v>240</v>
      </c>
      <c r="F491" s="8">
        <v>5</v>
      </c>
      <c r="G491" s="9">
        <v>1</v>
      </c>
      <c r="H491" s="9">
        <v>15</v>
      </c>
      <c r="I491" s="10">
        <v>1.1000000000000001</v>
      </c>
      <c r="J491" s="11">
        <v>0.27289999999999998</v>
      </c>
      <c r="K491" s="11" t="s">
        <v>241</v>
      </c>
      <c r="L491" s="11" t="s">
        <v>241</v>
      </c>
      <c r="M491" s="11">
        <v>1.2487999999999999</v>
      </c>
      <c r="N491" s="11">
        <v>0.2296</v>
      </c>
    </row>
    <row r="492" spans="2:14" ht="15" customHeight="1" x14ac:dyDescent="0.25">
      <c r="B492" s="6" t="s">
        <v>1209</v>
      </c>
      <c r="C492" s="7" t="s">
        <v>1210</v>
      </c>
      <c r="D492" s="6" t="s">
        <v>290</v>
      </c>
      <c r="E492" s="6" t="s">
        <v>240</v>
      </c>
      <c r="F492" s="8">
        <v>2.2000000000000002</v>
      </c>
      <c r="G492" s="9">
        <v>1</v>
      </c>
      <c r="H492" s="9">
        <v>7</v>
      </c>
      <c r="I492" s="10">
        <v>1.21</v>
      </c>
      <c r="J492" s="11">
        <v>0.22520000000000001</v>
      </c>
      <c r="K492" s="11" t="s">
        <v>241</v>
      </c>
      <c r="L492" s="11" t="s">
        <v>241</v>
      </c>
      <c r="M492" s="11">
        <v>0.5323</v>
      </c>
      <c r="N492" s="11">
        <v>0.14599999999999999</v>
      </c>
    </row>
    <row r="493" spans="2:14" ht="15" customHeight="1" x14ac:dyDescent="0.25">
      <c r="B493" s="6" t="s">
        <v>1211</v>
      </c>
      <c r="C493" s="7" t="s">
        <v>1212</v>
      </c>
      <c r="D493" s="6" t="s">
        <v>290</v>
      </c>
      <c r="E493" s="6" t="s">
        <v>240</v>
      </c>
      <c r="F493" s="8">
        <v>6.6</v>
      </c>
      <c r="G493" s="9">
        <v>1</v>
      </c>
      <c r="H493" s="9">
        <v>18</v>
      </c>
      <c r="I493" s="10">
        <v>0.91</v>
      </c>
      <c r="J493" s="11">
        <v>0.2306</v>
      </c>
      <c r="K493" s="11" t="s">
        <v>241</v>
      </c>
      <c r="L493" s="11" t="s">
        <v>241</v>
      </c>
      <c r="M493" s="11">
        <v>1.8766</v>
      </c>
      <c r="N493" s="11">
        <v>0.26129999999999998</v>
      </c>
    </row>
    <row r="494" spans="2:14" ht="15" customHeight="1" x14ac:dyDescent="0.25">
      <c r="B494" s="6" t="s">
        <v>1213</v>
      </c>
      <c r="C494" s="7" t="s">
        <v>1214</v>
      </c>
      <c r="D494" s="6" t="s">
        <v>290</v>
      </c>
      <c r="E494" s="6" t="s">
        <v>240</v>
      </c>
      <c r="F494" s="8">
        <v>3.2</v>
      </c>
      <c r="G494" s="9">
        <v>1</v>
      </c>
      <c r="H494" s="9">
        <v>9</v>
      </c>
      <c r="I494" s="10">
        <v>1.33</v>
      </c>
      <c r="J494" s="11">
        <v>0.15390000000000001</v>
      </c>
      <c r="K494" s="11" t="s">
        <v>241</v>
      </c>
      <c r="L494" s="11" t="s">
        <v>241</v>
      </c>
      <c r="M494" s="11">
        <v>0.78439999999999999</v>
      </c>
      <c r="N494" s="11">
        <v>0.23019999999999999</v>
      </c>
    </row>
    <row r="495" spans="2:14" ht="15" customHeight="1" x14ac:dyDescent="0.25">
      <c r="B495" s="6" t="s">
        <v>1215</v>
      </c>
      <c r="C495" s="7" t="s">
        <v>1216</v>
      </c>
      <c r="D495" s="6" t="s">
        <v>240</v>
      </c>
      <c r="E495" s="6" t="s">
        <v>240</v>
      </c>
      <c r="F495" s="8">
        <v>8.5</v>
      </c>
      <c r="G495" s="9">
        <v>2</v>
      </c>
      <c r="H495" s="9">
        <v>23</v>
      </c>
      <c r="I495" s="10">
        <v>1</v>
      </c>
      <c r="J495" s="11" t="s">
        <v>241</v>
      </c>
      <c r="K495" s="11">
        <v>0</v>
      </c>
      <c r="L495" s="11">
        <v>1.1527000000000001</v>
      </c>
      <c r="M495" s="11">
        <v>2.3054000000000001</v>
      </c>
      <c r="N495" s="11">
        <v>0.20319999999999999</v>
      </c>
    </row>
    <row r="496" spans="2:14" ht="15" customHeight="1" x14ac:dyDescent="0.25">
      <c r="B496" s="6" t="s">
        <v>1217</v>
      </c>
      <c r="C496" s="7" t="s">
        <v>1218</v>
      </c>
      <c r="D496" s="6" t="s">
        <v>290</v>
      </c>
      <c r="E496" s="6" t="s">
        <v>240</v>
      </c>
      <c r="F496" s="8">
        <v>4.2</v>
      </c>
      <c r="G496" s="9">
        <v>1</v>
      </c>
      <c r="H496" s="9">
        <v>13</v>
      </c>
      <c r="I496" s="10">
        <v>1</v>
      </c>
      <c r="J496" s="11">
        <v>0.18260000000000001</v>
      </c>
      <c r="K496" s="11" t="s">
        <v>241</v>
      </c>
      <c r="L496" s="11" t="s">
        <v>241</v>
      </c>
      <c r="M496" s="11">
        <v>0.90290000000000004</v>
      </c>
      <c r="N496" s="11">
        <v>0.1079</v>
      </c>
    </row>
    <row r="497" spans="2:14" ht="15" customHeight="1" x14ac:dyDescent="0.25">
      <c r="B497" s="6" t="s">
        <v>1219</v>
      </c>
      <c r="C497" s="7" t="s">
        <v>1220</v>
      </c>
      <c r="D497" s="6" t="s">
        <v>240</v>
      </c>
      <c r="E497" s="6" t="s">
        <v>240</v>
      </c>
      <c r="F497" s="8">
        <v>25.4</v>
      </c>
      <c r="G497" s="9">
        <v>8</v>
      </c>
      <c r="H497" s="9">
        <v>80</v>
      </c>
      <c r="I497" s="10">
        <v>1</v>
      </c>
      <c r="J497" s="11" t="s">
        <v>241</v>
      </c>
      <c r="K497" s="11">
        <v>0.63109999999999999</v>
      </c>
      <c r="L497" s="11">
        <v>1.0406</v>
      </c>
      <c r="M497" s="11">
        <v>8.9559999999999995</v>
      </c>
      <c r="N497" s="11">
        <v>0.27089999999999997</v>
      </c>
    </row>
    <row r="498" spans="2:14" ht="15" customHeight="1" x14ac:dyDescent="0.25">
      <c r="B498" s="6" t="s">
        <v>1221</v>
      </c>
      <c r="C498" s="7" t="s">
        <v>1222</v>
      </c>
      <c r="D498" s="6" t="s">
        <v>240</v>
      </c>
      <c r="E498" s="6" t="s">
        <v>240</v>
      </c>
      <c r="F498" s="8">
        <v>12.5</v>
      </c>
      <c r="G498" s="9">
        <v>4</v>
      </c>
      <c r="H498" s="9">
        <v>42</v>
      </c>
      <c r="I498" s="10">
        <v>1</v>
      </c>
      <c r="J498" s="11" t="s">
        <v>241</v>
      </c>
      <c r="K498" s="11">
        <v>0.19539999999999999</v>
      </c>
      <c r="L498" s="11">
        <v>1.0488999999999999</v>
      </c>
      <c r="M498" s="11">
        <v>4.3909000000000002</v>
      </c>
      <c r="N498" s="11">
        <v>0.23180000000000001</v>
      </c>
    </row>
    <row r="499" spans="2:14" ht="15" customHeight="1" x14ac:dyDescent="0.25">
      <c r="B499" s="6" t="s">
        <v>1223</v>
      </c>
      <c r="C499" s="7" t="s">
        <v>1224</v>
      </c>
      <c r="D499" s="6" t="s">
        <v>240</v>
      </c>
      <c r="E499" s="6" t="s">
        <v>240</v>
      </c>
      <c r="F499" s="8">
        <v>3</v>
      </c>
      <c r="G499" s="9">
        <v>1</v>
      </c>
      <c r="H499" s="9">
        <v>9</v>
      </c>
      <c r="I499" s="10">
        <v>1</v>
      </c>
      <c r="J499" s="11" t="s">
        <v>241</v>
      </c>
      <c r="K499" s="11" t="s">
        <v>241</v>
      </c>
      <c r="L499" s="11" t="s">
        <v>241</v>
      </c>
      <c r="M499" s="11">
        <v>0.62590000000000001</v>
      </c>
      <c r="N499" s="11">
        <v>0.2656</v>
      </c>
    </row>
    <row r="500" spans="2:14" ht="15" customHeight="1" x14ac:dyDescent="0.25">
      <c r="B500" s="6" t="s">
        <v>1225</v>
      </c>
      <c r="C500" s="7" t="s">
        <v>1226</v>
      </c>
      <c r="D500" s="6" t="s">
        <v>240</v>
      </c>
      <c r="E500" s="6" t="s">
        <v>240</v>
      </c>
      <c r="F500" s="8">
        <v>7</v>
      </c>
      <c r="G500" s="9">
        <v>2</v>
      </c>
      <c r="H500" s="9">
        <v>21</v>
      </c>
      <c r="I500" s="10">
        <v>1</v>
      </c>
      <c r="J500" s="11" t="s">
        <v>241</v>
      </c>
      <c r="K500" s="11">
        <v>1.3537999999999999</v>
      </c>
      <c r="L500" s="11">
        <v>1.7427999999999999</v>
      </c>
      <c r="M500" s="11">
        <v>4.8392999999999997</v>
      </c>
      <c r="N500" s="11">
        <v>0.39340000000000003</v>
      </c>
    </row>
    <row r="501" spans="2:14" ht="15" customHeight="1" x14ac:dyDescent="0.25">
      <c r="B501" s="6" t="s">
        <v>1227</v>
      </c>
      <c r="C501" s="7" t="s">
        <v>1228</v>
      </c>
      <c r="D501" s="6" t="s">
        <v>240</v>
      </c>
      <c r="E501" s="6" t="s">
        <v>240</v>
      </c>
      <c r="F501" s="8">
        <v>4.0999999999999996</v>
      </c>
      <c r="G501" s="9">
        <v>1</v>
      </c>
      <c r="H501" s="9">
        <v>13</v>
      </c>
      <c r="I501" s="10">
        <v>1</v>
      </c>
      <c r="J501" s="11" t="s">
        <v>241</v>
      </c>
      <c r="K501" s="11" t="s">
        <v>241</v>
      </c>
      <c r="L501" s="11" t="s">
        <v>241</v>
      </c>
      <c r="M501" s="11">
        <v>3.0863999999999998</v>
      </c>
      <c r="N501" s="11">
        <v>0.44009999999999999</v>
      </c>
    </row>
    <row r="502" spans="2:14" ht="15" customHeight="1" x14ac:dyDescent="0.25">
      <c r="B502" s="6" t="s">
        <v>1229</v>
      </c>
      <c r="C502" s="7" t="s">
        <v>1230</v>
      </c>
      <c r="D502" s="6" t="s">
        <v>240</v>
      </c>
      <c r="E502" s="6" t="s">
        <v>240</v>
      </c>
      <c r="F502" s="8">
        <v>5.3</v>
      </c>
      <c r="G502" s="9">
        <v>1</v>
      </c>
      <c r="H502" s="9">
        <v>13</v>
      </c>
      <c r="I502" s="10">
        <v>1</v>
      </c>
      <c r="J502" s="11" t="s">
        <v>241</v>
      </c>
      <c r="K502" s="11" t="s">
        <v>241</v>
      </c>
      <c r="L502" s="11" t="s">
        <v>241</v>
      </c>
      <c r="M502" s="11">
        <v>3.1661999999999999</v>
      </c>
      <c r="N502" s="11">
        <v>0.32669999999999999</v>
      </c>
    </row>
    <row r="503" spans="2:14" ht="15" customHeight="1" x14ac:dyDescent="0.25">
      <c r="B503" s="6" t="s">
        <v>1231</v>
      </c>
      <c r="C503" s="7" t="s">
        <v>1232</v>
      </c>
      <c r="D503" s="6" t="s">
        <v>240</v>
      </c>
      <c r="E503" s="6" t="s">
        <v>240</v>
      </c>
      <c r="F503" s="8">
        <v>1.3</v>
      </c>
      <c r="G503" s="9">
        <v>1</v>
      </c>
      <c r="H503" s="9">
        <v>4</v>
      </c>
      <c r="I503" s="10">
        <v>1</v>
      </c>
      <c r="J503" s="11" t="s">
        <v>241</v>
      </c>
      <c r="K503" s="11" t="s">
        <v>241</v>
      </c>
      <c r="L503" s="11" t="s">
        <v>241</v>
      </c>
      <c r="M503" s="11">
        <v>1.5124</v>
      </c>
      <c r="N503" s="11">
        <v>0.57769999999999999</v>
      </c>
    </row>
    <row r="504" spans="2:14" ht="15" customHeight="1" x14ac:dyDescent="0.25">
      <c r="B504" s="6" t="s">
        <v>1233</v>
      </c>
      <c r="C504" s="7" t="s">
        <v>1234</v>
      </c>
      <c r="D504" s="6" t="s">
        <v>240</v>
      </c>
      <c r="E504" s="6" t="s">
        <v>240</v>
      </c>
      <c r="F504" s="8">
        <v>3.8</v>
      </c>
      <c r="G504" s="9">
        <v>1</v>
      </c>
      <c r="H504" s="9">
        <v>12</v>
      </c>
      <c r="I504" s="10">
        <v>1</v>
      </c>
      <c r="J504" s="11" t="s">
        <v>241</v>
      </c>
      <c r="K504" s="11" t="s">
        <v>241</v>
      </c>
      <c r="L504" s="11" t="s">
        <v>241</v>
      </c>
      <c r="M504" s="11">
        <v>3.3599000000000001</v>
      </c>
      <c r="N504" s="11">
        <v>0.44130000000000003</v>
      </c>
    </row>
    <row r="505" spans="2:14" ht="15" customHeight="1" x14ac:dyDescent="0.25">
      <c r="B505" s="6" t="s">
        <v>1235</v>
      </c>
      <c r="C505" s="7" t="s">
        <v>1236</v>
      </c>
      <c r="D505" s="6" t="s">
        <v>240</v>
      </c>
      <c r="E505" s="6" t="s">
        <v>240</v>
      </c>
      <c r="F505" s="8">
        <v>1.5</v>
      </c>
      <c r="G505" s="9">
        <v>1</v>
      </c>
      <c r="H505" s="9">
        <v>5</v>
      </c>
      <c r="I505" s="10">
        <v>1</v>
      </c>
      <c r="J505" s="11" t="s">
        <v>241</v>
      </c>
      <c r="K505" s="11" t="s">
        <v>241</v>
      </c>
      <c r="L505" s="11" t="s">
        <v>241</v>
      </c>
      <c r="M505" s="11">
        <v>1.9301999999999999</v>
      </c>
      <c r="N505" s="11">
        <v>0.58050000000000002</v>
      </c>
    </row>
    <row r="506" spans="2:14" ht="15" customHeight="1" x14ac:dyDescent="0.25">
      <c r="B506" s="6" t="s">
        <v>1237</v>
      </c>
      <c r="C506" s="7" t="s">
        <v>1238</v>
      </c>
      <c r="D506" s="6" t="s">
        <v>240</v>
      </c>
      <c r="E506" s="6" t="s">
        <v>240</v>
      </c>
      <c r="F506" s="8">
        <v>1.3</v>
      </c>
      <c r="G506" s="9">
        <v>1</v>
      </c>
      <c r="H506" s="9">
        <v>4</v>
      </c>
      <c r="I506" s="10">
        <v>1</v>
      </c>
      <c r="J506" s="11" t="s">
        <v>241</v>
      </c>
      <c r="K506" s="11" t="s">
        <v>241</v>
      </c>
      <c r="L506" s="11" t="s">
        <v>241</v>
      </c>
      <c r="M506" s="11">
        <v>1.409</v>
      </c>
      <c r="N506" s="11">
        <v>0.51619999999999999</v>
      </c>
    </row>
    <row r="507" spans="2:14" ht="15" customHeight="1" x14ac:dyDescent="0.25">
      <c r="B507" s="6" t="s">
        <v>1239</v>
      </c>
      <c r="C507" s="7" t="s">
        <v>1240</v>
      </c>
      <c r="D507" s="6" t="s">
        <v>240</v>
      </c>
      <c r="E507" s="6" t="s">
        <v>240</v>
      </c>
      <c r="F507" s="8">
        <v>14.5</v>
      </c>
      <c r="G507" s="9">
        <v>4</v>
      </c>
      <c r="H507" s="9">
        <v>44</v>
      </c>
      <c r="I507" s="10">
        <v>1.64</v>
      </c>
      <c r="J507" s="11" t="s">
        <v>241</v>
      </c>
      <c r="K507" s="11">
        <v>0.62870000000000004</v>
      </c>
      <c r="L507" s="11">
        <v>1.3218000000000001</v>
      </c>
      <c r="M507" s="11">
        <v>5.9158999999999997</v>
      </c>
      <c r="N507" s="11">
        <v>0.27450000000000002</v>
      </c>
    </row>
    <row r="508" spans="2:14" ht="15" customHeight="1" x14ac:dyDescent="0.25">
      <c r="B508" s="6" t="s">
        <v>1241</v>
      </c>
      <c r="C508" s="7" t="s">
        <v>1242</v>
      </c>
      <c r="D508" s="6" t="s">
        <v>240</v>
      </c>
      <c r="E508" s="6" t="s">
        <v>240</v>
      </c>
      <c r="F508" s="8">
        <v>4.3</v>
      </c>
      <c r="G508" s="9">
        <v>1</v>
      </c>
      <c r="H508" s="9">
        <v>13</v>
      </c>
      <c r="I508" s="10">
        <v>1</v>
      </c>
      <c r="J508" s="11" t="s">
        <v>241</v>
      </c>
      <c r="K508" s="11" t="s">
        <v>241</v>
      </c>
      <c r="L508" s="11" t="s">
        <v>241</v>
      </c>
      <c r="M508" s="11">
        <v>2.0164</v>
      </c>
      <c r="N508" s="11">
        <v>0.25480000000000003</v>
      </c>
    </row>
    <row r="509" spans="2:14" ht="15" customHeight="1" x14ac:dyDescent="0.25">
      <c r="B509" s="6" t="s">
        <v>1243</v>
      </c>
      <c r="C509" s="7" t="s">
        <v>1244</v>
      </c>
      <c r="D509" s="6" t="s">
        <v>240</v>
      </c>
      <c r="E509" s="6" t="s">
        <v>240</v>
      </c>
      <c r="F509" s="8">
        <v>11</v>
      </c>
      <c r="G509" s="9">
        <v>1</v>
      </c>
      <c r="H509" s="9">
        <v>18</v>
      </c>
      <c r="I509" s="10">
        <v>1</v>
      </c>
      <c r="J509" s="11" t="s">
        <v>241</v>
      </c>
      <c r="K509" s="11" t="s">
        <v>241</v>
      </c>
      <c r="L509" s="11" t="s">
        <v>241</v>
      </c>
      <c r="M509" s="11">
        <v>2.9752999999999998</v>
      </c>
      <c r="N509" s="11">
        <v>0.49640000000000001</v>
      </c>
    </row>
    <row r="510" spans="2:14" ht="15" customHeight="1" x14ac:dyDescent="0.25">
      <c r="B510" s="6" t="s">
        <v>1245</v>
      </c>
      <c r="C510" s="7" t="s">
        <v>1246</v>
      </c>
      <c r="D510" s="6" t="s">
        <v>240</v>
      </c>
      <c r="E510" s="6" t="s">
        <v>240</v>
      </c>
      <c r="F510" s="8">
        <v>2.8</v>
      </c>
      <c r="G510" s="9">
        <v>1</v>
      </c>
      <c r="H510" s="9">
        <v>9</v>
      </c>
      <c r="I510" s="10">
        <v>1</v>
      </c>
      <c r="J510" s="11" t="s">
        <v>241</v>
      </c>
      <c r="K510" s="11" t="s">
        <v>241</v>
      </c>
      <c r="L510" s="11" t="s">
        <v>241</v>
      </c>
      <c r="M510" s="11">
        <v>2.7746</v>
      </c>
      <c r="N510" s="11">
        <v>0.38190000000000002</v>
      </c>
    </row>
    <row r="511" spans="2:14" ht="15" customHeight="1" x14ac:dyDescent="0.25">
      <c r="B511" s="6" t="s">
        <v>1247</v>
      </c>
      <c r="C511" s="7" t="s">
        <v>1248</v>
      </c>
      <c r="D511" s="6" t="s">
        <v>240</v>
      </c>
      <c r="E511" s="6" t="s">
        <v>240</v>
      </c>
      <c r="F511" s="8">
        <v>2.2000000000000002</v>
      </c>
      <c r="G511" s="9">
        <v>1</v>
      </c>
      <c r="H511" s="9">
        <v>7</v>
      </c>
      <c r="I511" s="10">
        <v>1</v>
      </c>
      <c r="J511" s="11" t="s">
        <v>241</v>
      </c>
      <c r="K511" s="11" t="s">
        <v>241</v>
      </c>
      <c r="L511" s="11" t="s">
        <v>241</v>
      </c>
      <c r="M511" s="11">
        <v>2.3378000000000001</v>
      </c>
      <c r="N511" s="11">
        <v>0.37630000000000002</v>
      </c>
    </row>
    <row r="512" spans="2:14" ht="15" customHeight="1" x14ac:dyDescent="0.25">
      <c r="B512" s="6" t="s">
        <v>1249</v>
      </c>
      <c r="C512" s="7" t="s">
        <v>1250</v>
      </c>
      <c r="D512" s="6" t="s">
        <v>240</v>
      </c>
      <c r="E512" s="6" t="s">
        <v>240</v>
      </c>
      <c r="F512" s="8">
        <v>5.7</v>
      </c>
      <c r="G512" s="9">
        <v>1</v>
      </c>
      <c r="H512" s="9">
        <v>7</v>
      </c>
      <c r="I512" s="10">
        <v>1</v>
      </c>
      <c r="J512" s="11" t="s">
        <v>241</v>
      </c>
      <c r="K512" s="11" t="s">
        <v>241</v>
      </c>
      <c r="L512" s="11" t="s">
        <v>241</v>
      </c>
      <c r="M512" s="11">
        <v>1.907</v>
      </c>
      <c r="N512" s="11">
        <v>0.33679999999999999</v>
      </c>
    </row>
    <row r="513" spans="2:14" ht="15" customHeight="1" x14ac:dyDescent="0.25">
      <c r="B513" s="6" t="s">
        <v>1251</v>
      </c>
      <c r="C513" s="7" t="s">
        <v>1252</v>
      </c>
      <c r="D513" s="6" t="s">
        <v>240</v>
      </c>
      <c r="E513" s="6" t="s">
        <v>240</v>
      </c>
      <c r="F513" s="8">
        <v>4.9000000000000004</v>
      </c>
      <c r="G513" s="9">
        <v>1</v>
      </c>
      <c r="H513" s="9">
        <v>12</v>
      </c>
      <c r="I513" s="10">
        <v>1</v>
      </c>
      <c r="J513" s="11" t="s">
        <v>241</v>
      </c>
      <c r="K513" s="11" t="s">
        <v>241</v>
      </c>
      <c r="L513" s="11" t="s">
        <v>241</v>
      </c>
      <c r="M513" s="11">
        <v>2.7277</v>
      </c>
      <c r="N513" s="11">
        <v>0.34899999999999998</v>
      </c>
    </row>
    <row r="514" spans="2:14" ht="15" customHeight="1" x14ac:dyDescent="0.25">
      <c r="B514" s="6" t="s">
        <v>1253</v>
      </c>
      <c r="C514" s="7" t="s">
        <v>1254</v>
      </c>
      <c r="D514" s="6" t="s">
        <v>240</v>
      </c>
      <c r="E514" s="6" t="s">
        <v>240</v>
      </c>
      <c r="F514" s="8">
        <v>10.199999999999999</v>
      </c>
      <c r="G514" s="9">
        <v>3</v>
      </c>
      <c r="H514" s="9">
        <v>30</v>
      </c>
      <c r="I514" s="10">
        <v>1.1299999999999999</v>
      </c>
      <c r="J514" s="11" t="s">
        <v>241</v>
      </c>
      <c r="K514" s="11">
        <v>0.2641</v>
      </c>
      <c r="L514" s="11">
        <v>1.2271000000000001</v>
      </c>
      <c r="M514" s="11">
        <v>3.9453999999999998</v>
      </c>
      <c r="N514" s="11">
        <v>0.2626</v>
      </c>
    </row>
    <row r="515" spans="2:14" ht="15" customHeight="1" x14ac:dyDescent="0.25">
      <c r="B515" s="6" t="s">
        <v>1255</v>
      </c>
      <c r="C515" s="7" t="s">
        <v>1256</v>
      </c>
      <c r="D515" s="6" t="s">
        <v>240</v>
      </c>
      <c r="E515" s="6" t="s">
        <v>240</v>
      </c>
      <c r="F515" s="8">
        <v>1</v>
      </c>
      <c r="G515" s="9">
        <v>1</v>
      </c>
      <c r="H515" s="9">
        <v>3</v>
      </c>
      <c r="I515" s="10">
        <v>1.83</v>
      </c>
      <c r="J515" s="11" t="s">
        <v>241</v>
      </c>
      <c r="K515" s="11" t="s">
        <v>241</v>
      </c>
      <c r="L515" s="11" t="s">
        <v>241</v>
      </c>
      <c r="M515" s="11">
        <v>0.44550000000000001</v>
      </c>
      <c r="N515" s="11">
        <v>0.21759999999999999</v>
      </c>
    </row>
    <row r="516" spans="2:14" ht="15" customHeight="1" x14ac:dyDescent="0.25">
      <c r="B516" s="6" t="s">
        <v>1257</v>
      </c>
      <c r="C516" s="7" t="s">
        <v>1258</v>
      </c>
      <c r="D516" s="6" t="s">
        <v>240</v>
      </c>
      <c r="E516" s="6" t="s">
        <v>240</v>
      </c>
      <c r="F516" s="8">
        <v>6.7</v>
      </c>
      <c r="G516" s="9">
        <v>2</v>
      </c>
      <c r="H516" s="9">
        <v>20</v>
      </c>
      <c r="I516" s="10">
        <v>1.47</v>
      </c>
      <c r="J516" s="11" t="s">
        <v>241</v>
      </c>
      <c r="K516" s="11">
        <v>0</v>
      </c>
      <c r="L516" s="11">
        <v>1.0955999999999999</v>
      </c>
      <c r="M516" s="11">
        <v>2.1911</v>
      </c>
      <c r="N516" s="11">
        <v>0.2384</v>
      </c>
    </row>
    <row r="517" spans="2:14" ht="15" customHeight="1" x14ac:dyDescent="0.25">
      <c r="B517" s="6" t="s">
        <v>1259</v>
      </c>
      <c r="C517" s="7" t="s">
        <v>1260</v>
      </c>
      <c r="D517" s="6" t="s">
        <v>290</v>
      </c>
      <c r="E517" s="6" t="s">
        <v>240</v>
      </c>
      <c r="F517" s="8">
        <v>3.5</v>
      </c>
      <c r="G517" s="9">
        <v>1</v>
      </c>
      <c r="H517" s="9">
        <v>9</v>
      </c>
      <c r="I517" s="10">
        <v>2</v>
      </c>
      <c r="J517" s="11">
        <v>0.1588</v>
      </c>
      <c r="K517" s="11" t="s">
        <v>241</v>
      </c>
      <c r="L517" s="11" t="s">
        <v>241</v>
      </c>
      <c r="M517" s="11">
        <v>0.92030000000000001</v>
      </c>
      <c r="N517" s="11">
        <v>0.17649999999999999</v>
      </c>
    </row>
    <row r="518" spans="2:14" ht="15" customHeight="1" x14ac:dyDescent="0.25">
      <c r="B518" s="6" t="s">
        <v>1261</v>
      </c>
      <c r="C518" s="7" t="s">
        <v>1262</v>
      </c>
      <c r="D518" s="6" t="s">
        <v>240</v>
      </c>
      <c r="E518" s="6" t="s">
        <v>240</v>
      </c>
      <c r="F518" s="8">
        <v>14.6</v>
      </c>
      <c r="G518" s="9">
        <v>4</v>
      </c>
      <c r="H518" s="9">
        <v>43</v>
      </c>
      <c r="I518" s="10">
        <v>1.41</v>
      </c>
      <c r="J518" s="11" t="s">
        <v>241</v>
      </c>
      <c r="K518" s="11">
        <v>0</v>
      </c>
      <c r="L518" s="11">
        <v>1.1295999999999999</v>
      </c>
      <c r="M518" s="11">
        <v>4.5186000000000002</v>
      </c>
      <c r="N518" s="11">
        <v>0.25359999999999999</v>
      </c>
    </row>
    <row r="519" spans="2:14" ht="15" customHeight="1" x14ac:dyDescent="0.25">
      <c r="B519" s="6" t="s">
        <v>1263</v>
      </c>
      <c r="C519" s="7" t="s">
        <v>1264</v>
      </c>
      <c r="D519" s="6" t="s">
        <v>240</v>
      </c>
      <c r="E519" s="6" t="s">
        <v>240</v>
      </c>
      <c r="F519" s="8">
        <v>6.3</v>
      </c>
      <c r="G519" s="9">
        <v>2</v>
      </c>
      <c r="H519" s="9">
        <v>19</v>
      </c>
      <c r="I519" s="10">
        <v>1.1399999999999999</v>
      </c>
      <c r="J519" s="11" t="s">
        <v>241</v>
      </c>
      <c r="K519" s="11">
        <v>0</v>
      </c>
      <c r="L519" s="11">
        <v>1.0358000000000001</v>
      </c>
      <c r="M519" s="11">
        <v>2.0716000000000001</v>
      </c>
      <c r="N519" s="11">
        <v>0.2576</v>
      </c>
    </row>
    <row r="520" spans="2:14" ht="15" customHeight="1" x14ac:dyDescent="0.25">
      <c r="B520" s="6" t="s">
        <v>1265</v>
      </c>
      <c r="C520" s="7" t="s">
        <v>1266</v>
      </c>
      <c r="D520" s="6" t="s">
        <v>240</v>
      </c>
      <c r="E520" s="6" t="s">
        <v>240</v>
      </c>
      <c r="F520" s="8">
        <v>6.6</v>
      </c>
      <c r="G520" s="9">
        <v>2</v>
      </c>
      <c r="H520" s="9">
        <v>19</v>
      </c>
      <c r="I520" s="10">
        <v>1.25</v>
      </c>
      <c r="J520" s="11" t="s">
        <v>241</v>
      </c>
      <c r="K520" s="11">
        <v>0</v>
      </c>
      <c r="L520" s="11">
        <v>1.0268999999999999</v>
      </c>
      <c r="M520" s="11">
        <v>2.0537999999999998</v>
      </c>
      <c r="N520" s="11">
        <v>0.2361</v>
      </c>
    </row>
    <row r="521" spans="2:14" ht="15" customHeight="1" x14ac:dyDescent="0.25">
      <c r="B521" s="6" t="s">
        <v>1267</v>
      </c>
      <c r="C521" s="7" t="s">
        <v>1268</v>
      </c>
      <c r="D521" s="6" t="s">
        <v>290</v>
      </c>
      <c r="E521" s="6" t="s">
        <v>240</v>
      </c>
      <c r="F521" s="8">
        <v>3.3</v>
      </c>
      <c r="G521" s="9">
        <v>1</v>
      </c>
      <c r="H521" s="9">
        <v>10</v>
      </c>
      <c r="I521" s="10">
        <v>1.17</v>
      </c>
      <c r="J521" s="11">
        <v>0.1741</v>
      </c>
      <c r="K521" s="11" t="s">
        <v>241</v>
      </c>
      <c r="L521" s="11" t="s">
        <v>241</v>
      </c>
      <c r="M521" s="11">
        <v>0.92220000000000002</v>
      </c>
      <c r="N521" s="11">
        <v>0.2422</v>
      </c>
    </row>
    <row r="522" spans="2:14" ht="15" customHeight="1" x14ac:dyDescent="0.25">
      <c r="B522" s="6" t="s">
        <v>1269</v>
      </c>
      <c r="C522" s="7" t="s">
        <v>1270</v>
      </c>
      <c r="D522" s="6" t="s">
        <v>290</v>
      </c>
      <c r="E522" s="6" t="s">
        <v>240</v>
      </c>
      <c r="F522" s="8">
        <v>2.2000000000000002</v>
      </c>
      <c r="G522" s="9">
        <v>1</v>
      </c>
      <c r="H522" s="9">
        <v>7</v>
      </c>
      <c r="I522" s="10">
        <v>1.31</v>
      </c>
      <c r="J522" s="11">
        <v>0.1178</v>
      </c>
      <c r="K522" s="11" t="s">
        <v>241</v>
      </c>
      <c r="L522" s="11" t="s">
        <v>241</v>
      </c>
      <c r="M522" s="11">
        <v>0.58750000000000002</v>
      </c>
      <c r="N522" s="11">
        <v>0.2432</v>
      </c>
    </row>
    <row r="523" spans="2:14" ht="15" customHeight="1" x14ac:dyDescent="0.25">
      <c r="B523" s="6" t="s">
        <v>1271</v>
      </c>
      <c r="C523" s="7" t="s">
        <v>1272</v>
      </c>
      <c r="D523" s="6" t="s">
        <v>240</v>
      </c>
      <c r="E523" s="6" t="s">
        <v>240</v>
      </c>
      <c r="F523" s="8">
        <v>3.9</v>
      </c>
      <c r="G523" s="9">
        <v>1</v>
      </c>
      <c r="H523" s="9">
        <v>13</v>
      </c>
      <c r="I523" s="10">
        <v>1.27</v>
      </c>
      <c r="J523" s="11" t="s">
        <v>241</v>
      </c>
      <c r="K523" s="11" t="s">
        <v>241</v>
      </c>
      <c r="L523" s="11" t="s">
        <v>241</v>
      </c>
      <c r="M523" s="11">
        <v>1.3179000000000001</v>
      </c>
      <c r="N523" s="11">
        <v>0.31490000000000001</v>
      </c>
    </row>
    <row r="524" spans="2:14" ht="15" customHeight="1" x14ac:dyDescent="0.25">
      <c r="B524" s="6" t="s">
        <v>1273</v>
      </c>
      <c r="C524" s="7" t="s">
        <v>1274</v>
      </c>
      <c r="D524" s="6" t="s">
        <v>240</v>
      </c>
      <c r="E524" s="6" t="s">
        <v>240</v>
      </c>
      <c r="F524" s="8">
        <v>1.1000000000000001</v>
      </c>
      <c r="G524" s="9">
        <v>1</v>
      </c>
      <c r="H524" s="9">
        <v>3</v>
      </c>
      <c r="I524" s="10">
        <v>1.1299999999999999</v>
      </c>
      <c r="J524" s="11" t="s">
        <v>241</v>
      </c>
      <c r="K524" s="11" t="s">
        <v>241</v>
      </c>
      <c r="L524" s="11" t="s">
        <v>241</v>
      </c>
      <c r="M524" s="11">
        <v>0.26319999999999999</v>
      </c>
      <c r="N524" s="11">
        <v>0.19819999999999999</v>
      </c>
    </row>
    <row r="525" spans="2:14" ht="15" customHeight="1" x14ac:dyDescent="0.25">
      <c r="B525" s="6" t="s">
        <v>1275</v>
      </c>
      <c r="C525" s="7" t="s">
        <v>1276</v>
      </c>
      <c r="D525" s="6" t="s">
        <v>290</v>
      </c>
      <c r="E525" s="6" t="s">
        <v>240</v>
      </c>
      <c r="F525" s="8">
        <v>5.3</v>
      </c>
      <c r="G525" s="9">
        <v>1</v>
      </c>
      <c r="H525" s="9">
        <v>15</v>
      </c>
      <c r="I525" s="10">
        <v>2</v>
      </c>
      <c r="J525" s="11">
        <v>0.34849999999999998</v>
      </c>
      <c r="K525" s="11" t="s">
        <v>241</v>
      </c>
      <c r="L525" s="11" t="s">
        <v>241</v>
      </c>
      <c r="M525" s="11">
        <v>1.6085</v>
      </c>
      <c r="N525" s="11">
        <v>0.23630000000000001</v>
      </c>
    </row>
    <row r="526" spans="2:14" ht="15" customHeight="1" x14ac:dyDescent="0.25">
      <c r="B526" s="6" t="s">
        <v>1277</v>
      </c>
      <c r="C526" s="7" t="s">
        <v>1278</v>
      </c>
      <c r="D526" s="6" t="s">
        <v>290</v>
      </c>
      <c r="E526" s="6" t="s">
        <v>240</v>
      </c>
      <c r="F526" s="8">
        <v>2.5</v>
      </c>
      <c r="G526" s="9">
        <v>1</v>
      </c>
      <c r="H526" s="9">
        <v>8</v>
      </c>
      <c r="I526" s="10">
        <v>2</v>
      </c>
      <c r="J526" s="11">
        <v>0.18629999999999999</v>
      </c>
      <c r="K526" s="11" t="s">
        <v>241</v>
      </c>
      <c r="L526" s="11" t="s">
        <v>241</v>
      </c>
      <c r="M526" s="11">
        <v>0.69089999999999996</v>
      </c>
      <c r="N526" s="11">
        <v>0.22320000000000001</v>
      </c>
    </row>
    <row r="527" spans="2:14" ht="15" customHeight="1" x14ac:dyDescent="0.25">
      <c r="B527" s="6" t="s">
        <v>1279</v>
      </c>
      <c r="C527" s="7" t="s">
        <v>1280</v>
      </c>
      <c r="D527" s="6" t="s">
        <v>240</v>
      </c>
      <c r="E527" s="6" t="s">
        <v>240</v>
      </c>
      <c r="F527" s="8">
        <v>10.1</v>
      </c>
      <c r="G527" s="9">
        <v>2</v>
      </c>
      <c r="H527" s="9">
        <v>26</v>
      </c>
      <c r="I527" s="10">
        <v>1</v>
      </c>
      <c r="J527" s="11" t="s">
        <v>241</v>
      </c>
      <c r="K527" s="11">
        <v>0.56969999999999998</v>
      </c>
      <c r="L527" s="11">
        <v>1.7168000000000001</v>
      </c>
      <c r="M527" s="11">
        <v>4.0033000000000003</v>
      </c>
      <c r="N527" s="11">
        <v>0.2646</v>
      </c>
    </row>
    <row r="528" spans="2:14" ht="15" customHeight="1" x14ac:dyDescent="0.25">
      <c r="B528" s="6" t="s">
        <v>1281</v>
      </c>
      <c r="C528" s="7" t="s">
        <v>1282</v>
      </c>
      <c r="D528" s="6" t="s">
        <v>240</v>
      </c>
      <c r="E528" s="6" t="s">
        <v>240</v>
      </c>
      <c r="F528" s="8">
        <v>1.4</v>
      </c>
      <c r="G528" s="9">
        <v>1</v>
      </c>
      <c r="H528" s="9">
        <v>4</v>
      </c>
      <c r="I528" s="10">
        <v>1</v>
      </c>
      <c r="J528" s="11" t="s">
        <v>241</v>
      </c>
      <c r="K528" s="11" t="s">
        <v>241</v>
      </c>
      <c r="L528" s="11" t="s">
        <v>241</v>
      </c>
      <c r="M528" s="11">
        <v>1.0531999999999999</v>
      </c>
      <c r="N528" s="11">
        <v>0.29549999999999998</v>
      </c>
    </row>
    <row r="529" spans="2:14" ht="15" customHeight="1" x14ac:dyDescent="0.25">
      <c r="B529" s="6" t="s">
        <v>1283</v>
      </c>
      <c r="C529" s="7" t="s">
        <v>1284</v>
      </c>
      <c r="D529" s="6" t="s">
        <v>240</v>
      </c>
      <c r="E529" s="6" t="s">
        <v>240</v>
      </c>
      <c r="F529" s="8">
        <v>12.6</v>
      </c>
      <c r="G529" s="9">
        <v>4</v>
      </c>
      <c r="H529" s="9">
        <v>43</v>
      </c>
      <c r="I529" s="10">
        <v>1</v>
      </c>
      <c r="J529" s="11" t="s">
        <v>241</v>
      </c>
      <c r="K529" s="11">
        <v>2.4504000000000001</v>
      </c>
      <c r="L529" s="11">
        <v>1.423</v>
      </c>
      <c r="M529" s="11">
        <v>8.1424000000000003</v>
      </c>
      <c r="N529" s="11">
        <v>0.33539999999999998</v>
      </c>
    </row>
    <row r="530" spans="2:14" ht="15" customHeight="1" x14ac:dyDescent="0.25">
      <c r="B530" s="6" t="s">
        <v>1285</v>
      </c>
      <c r="C530" s="7" t="s">
        <v>1286</v>
      </c>
      <c r="D530" s="6" t="s">
        <v>240</v>
      </c>
      <c r="E530" s="6" t="s">
        <v>240</v>
      </c>
      <c r="F530" s="8">
        <v>5</v>
      </c>
      <c r="G530" s="9">
        <v>1</v>
      </c>
      <c r="H530" s="9">
        <v>18</v>
      </c>
      <c r="I530" s="10">
        <v>1</v>
      </c>
      <c r="J530" s="11" t="s">
        <v>241</v>
      </c>
      <c r="K530" s="11" t="s">
        <v>241</v>
      </c>
      <c r="L530" s="11" t="s">
        <v>241</v>
      </c>
      <c r="M530" s="11">
        <v>4.3193999999999999</v>
      </c>
      <c r="N530" s="11">
        <v>0.37219999999999998</v>
      </c>
    </row>
    <row r="531" spans="2:14" ht="15" customHeight="1" x14ac:dyDescent="0.25">
      <c r="B531" s="6" t="s">
        <v>1287</v>
      </c>
      <c r="C531" s="7" t="s">
        <v>1288</v>
      </c>
      <c r="D531" s="6" t="s">
        <v>240</v>
      </c>
      <c r="E531" s="6" t="s">
        <v>240</v>
      </c>
      <c r="F531" s="8">
        <v>2.7</v>
      </c>
      <c r="G531" s="9">
        <v>1</v>
      </c>
      <c r="H531" s="9">
        <v>8</v>
      </c>
      <c r="I531" s="10">
        <v>1</v>
      </c>
      <c r="J531" s="11" t="s">
        <v>241</v>
      </c>
      <c r="K531" s="11" t="s">
        <v>241</v>
      </c>
      <c r="L531" s="11" t="s">
        <v>241</v>
      </c>
      <c r="M531" s="11">
        <v>2.8506999999999998</v>
      </c>
      <c r="N531" s="11">
        <v>0.60619999999999996</v>
      </c>
    </row>
    <row r="532" spans="2:14" ht="15" customHeight="1" x14ac:dyDescent="0.25">
      <c r="B532" s="6" t="s">
        <v>1289</v>
      </c>
      <c r="C532" s="7" t="s">
        <v>1290</v>
      </c>
      <c r="D532" s="6" t="s">
        <v>240</v>
      </c>
      <c r="E532" s="6" t="s">
        <v>240</v>
      </c>
      <c r="F532" s="8">
        <v>12.6</v>
      </c>
      <c r="G532" s="9">
        <v>3</v>
      </c>
      <c r="H532" s="9">
        <v>36</v>
      </c>
      <c r="I532" s="10">
        <v>1</v>
      </c>
      <c r="J532" s="11" t="s">
        <v>241</v>
      </c>
      <c r="K532" s="11">
        <v>0.83950000000000002</v>
      </c>
      <c r="L532" s="11">
        <v>1.4896</v>
      </c>
      <c r="M532" s="11">
        <v>5.3082000000000003</v>
      </c>
      <c r="N532" s="11">
        <v>0.2918</v>
      </c>
    </row>
    <row r="533" spans="2:14" ht="15" customHeight="1" x14ac:dyDescent="0.25">
      <c r="B533" s="6" t="s">
        <v>1291</v>
      </c>
      <c r="C533" s="7" t="s">
        <v>1292</v>
      </c>
      <c r="D533" s="6" t="s">
        <v>290</v>
      </c>
      <c r="E533" s="6" t="s">
        <v>240</v>
      </c>
      <c r="F533" s="8">
        <v>3.9</v>
      </c>
      <c r="G533" s="9">
        <v>1</v>
      </c>
      <c r="H533" s="9">
        <v>12</v>
      </c>
      <c r="I533" s="10">
        <v>1.27</v>
      </c>
      <c r="J533" s="11">
        <v>0.85409999999999997</v>
      </c>
      <c r="K533" s="11" t="s">
        <v>241</v>
      </c>
      <c r="L533" s="11" t="s">
        <v>241</v>
      </c>
      <c r="M533" s="11">
        <v>2.1806999999999999</v>
      </c>
      <c r="N533" s="11">
        <v>0.25009999999999999</v>
      </c>
    </row>
    <row r="534" spans="2:14" ht="15" customHeight="1" x14ac:dyDescent="0.25">
      <c r="B534" s="6" t="s">
        <v>1293</v>
      </c>
      <c r="C534" s="7" t="s">
        <v>1294</v>
      </c>
      <c r="D534" s="6" t="s">
        <v>240</v>
      </c>
      <c r="E534" s="6" t="s">
        <v>240</v>
      </c>
      <c r="F534" s="8">
        <v>1.2</v>
      </c>
      <c r="G534" s="9">
        <v>1</v>
      </c>
      <c r="H534" s="9">
        <v>4</v>
      </c>
      <c r="I534" s="10">
        <v>1.98</v>
      </c>
      <c r="J534" s="11" t="s">
        <v>241</v>
      </c>
      <c r="K534" s="11" t="s">
        <v>241</v>
      </c>
      <c r="L534" s="11" t="s">
        <v>241</v>
      </c>
      <c r="M534" s="11">
        <v>0.9788</v>
      </c>
      <c r="N534" s="11">
        <v>0.3246</v>
      </c>
    </row>
    <row r="535" spans="2:14" ht="15" customHeight="1" x14ac:dyDescent="0.25">
      <c r="B535" s="6" t="s">
        <v>1295</v>
      </c>
      <c r="C535" s="7" t="s">
        <v>1296</v>
      </c>
      <c r="D535" s="6" t="s">
        <v>240</v>
      </c>
      <c r="E535" s="6" t="s">
        <v>240</v>
      </c>
      <c r="F535" s="8">
        <v>6.7</v>
      </c>
      <c r="G535" s="9">
        <v>2</v>
      </c>
      <c r="H535" s="9">
        <v>21</v>
      </c>
      <c r="I535" s="10">
        <v>1</v>
      </c>
      <c r="J535" s="11" t="s">
        <v>241</v>
      </c>
      <c r="K535" s="11">
        <v>0.72960000000000003</v>
      </c>
      <c r="L535" s="11">
        <v>1.0528999999999999</v>
      </c>
      <c r="M535" s="11">
        <v>2.8355000000000001</v>
      </c>
      <c r="N535" s="11">
        <v>0.26619999999999999</v>
      </c>
    </row>
    <row r="536" spans="2:14" ht="15" customHeight="1" x14ac:dyDescent="0.25">
      <c r="B536" s="6" t="s">
        <v>1297</v>
      </c>
      <c r="C536" s="7" t="s">
        <v>1298</v>
      </c>
      <c r="D536" s="6" t="s">
        <v>240</v>
      </c>
      <c r="E536" s="6" t="s">
        <v>240</v>
      </c>
      <c r="F536" s="8">
        <v>2.2000000000000002</v>
      </c>
      <c r="G536" s="9">
        <v>1</v>
      </c>
      <c r="H536" s="9">
        <v>7</v>
      </c>
      <c r="I536" s="10">
        <v>1</v>
      </c>
      <c r="J536" s="11" t="s">
        <v>241</v>
      </c>
      <c r="K536" s="11" t="s">
        <v>241</v>
      </c>
      <c r="L536" s="11" t="s">
        <v>241</v>
      </c>
      <c r="M536" s="11">
        <v>1.3533999999999999</v>
      </c>
      <c r="N536" s="11">
        <v>0.27850000000000003</v>
      </c>
    </row>
    <row r="537" spans="2:14" ht="15" customHeight="1" x14ac:dyDescent="0.25">
      <c r="B537" s="6" t="s">
        <v>1299</v>
      </c>
      <c r="C537" s="7" t="s">
        <v>1300</v>
      </c>
      <c r="D537" s="6" t="s">
        <v>240</v>
      </c>
      <c r="E537" s="6" t="s">
        <v>240</v>
      </c>
      <c r="F537" s="8">
        <v>11.9</v>
      </c>
      <c r="G537" s="9">
        <v>3</v>
      </c>
      <c r="H537" s="9">
        <v>34</v>
      </c>
      <c r="I537" s="10">
        <v>1</v>
      </c>
      <c r="J537" s="11" t="s">
        <v>241</v>
      </c>
      <c r="K537" s="11">
        <v>0.72570000000000001</v>
      </c>
      <c r="L537" s="11">
        <v>1.4569000000000001</v>
      </c>
      <c r="M537" s="11">
        <v>5.0964</v>
      </c>
      <c r="N537" s="11">
        <v>0.28649999999999998</v>
      </c>
    </row>
    <row r="538" spans="2:14" ht="15" customHeight="1" x14ac:dyDescent="0.25">
      <c r="B538" s="6" t="s">
        <v>1301</v>
      </c>
      <c r="C538" s="7" t="s">
        <v>1302</v>
      </c>
      <c r="D538" s="6" t="s">
        <v>240</v>
      </c>
      <c r="E538" s="6" t="s">
        <v>240</v>
      </c>
      <c r="F538" s="8">
        <v>3.7</v>
      </c>
      <c r="G538" s="9">
        <v>1</v>
      </c>
      <c r="H538" s="9">
        <v>13</v>
      </c>
      <c r="I538" s="10">
        <v>1</v>
      </c>
      <c r="J538" s="11" t="s">
        <v>241</v>
      </c>
      <c r="K538" s="11" t="s">
        <v>241</v>
      </c>
      <c r="L538" s="11" t="s">
        <v>241</v>
      </c>
      <c r="M538" s="11">
        <v>1.8455999999999999</v>
      </c>
      <c r="N538" s="11">
        <v>0.23200000000000001</v>
      </c>
    </row>
    <row r="539" spans="2:14" ht="15" customHeight="1" x14ac:dyDescent="0.25">
      <c r="B539" s="6" t="s">
        <v>1303</v>
      </c>
      <c r="C539" s="7" t="s">
        <v>1304</v>
      </c>
      <c r="D539" s="6" t="s">
        <v>240</v>
      </c>
      <c r="E539" s="6" t="s">
        <v>240</v>
      </c>
      <c r="F539" s="8">
        <v>1.7</v>
      </c>
      <c r="G539" s="9">
        <v>1</v>
      </c>
      <c r="H539" s="9">
        <v>6</v>
      </c>
      <c r="I539" s="10">
        <v>1</v>
      </c>
      <c r="J539" s="11" t="s">
        <v>241</v>
      </c>
      <c r="K539" s="11" t="s">
        <v>241</v>
      </c>
      <c r="L539" s="11" t="s">
        <v>241</v>
      </c>
      <c r="M539" s="11">
        <v>1.0286</v>
      </c>
      <c r="N539" s="11">
        <v>0.32200000000000001</v>
      </c>
    </row>
    <row r="540" spans="2:14" ht="15" customHeight="1" x14ac:dyDescent="0.25">
      <c r="B540" s="6" t="s">
        <v>1305</v>
      </c>
      <c r="C540" s="7" t="s">
        <v>1306</v>
      </c>
      <c r="D540" s="6" t="s">
        <v>240</v>
      </c>
      <c r="E540" s="6" t="s">
        <v>240</v>
      </c>
      <c r="F540" s="8">
        <v>5.0999999999999996</v>
      </c>
      <c r="G540" s="9">
        <v>1</v>
      </c>
      <c r="H540" s="9">
        <v>15</v>
      </c>
      <c r="I540" s="10">
        <v>1</v>
      </c>
      <c r="J540" s="11" t="s">
        <v>241</v>
      </c>
      <c r="K540" s="11" t="s">
        <v>241</v>
      </c>
      <c r="L540" s="11" t="s">
        <v>241</v>
      </c>
      <c r="M540" s="11">
        <v>2.1053000000000002</v>
      </c>
      <c r="N540" s="11">
        <v>0.2777</v>
      </c>
    </row>
    <row r="541" spans="2:14" ht="15" customHeight="1" x14ac:dyDescent="0.25">
      <c r="B541" s="6" t="s">
        <v>1307</v>
      </c>
      <c r="C541" s="7" t="s">
        <v>1308</v>
      </c>
      <c r="D541" s="6" t="s">
        <v>240</v>
      </c>
      <c r="E541" s="6" t="s">
        <v>240</v>
      </c>
      <c r="F541" s="8">
        <v>1.2</v>
      </c>
      <c r="G541" s="9">
        <v>1</v>
      </c>
      <c r="H541" s="9">
        <v>4</v>
      </c>
      <c r="I541" s="10">
        <v>1.28</v>
      </c>
      <c r="J541" s="11" t="s">
        <v>241</v>
      </c>
      <c r="K541" s="11" t="s">
        <v>241</v>
      </c>
      <c r="L541" s="11" t="s">
        <v>241</v>
      </c>
      <c r="M541" s="11">
        <v>0.81079999999999997</v>
      </c>
      <c r="N541" s="11">
        <v>0.34660000000000002</v>
      </c>
    </row>
    <row r="542" spans="2:14" ht="15" customHeight="1" x14ac:dyDescent="0.25">
      <c r="B542" s="6" t="s">
        <v>1309</v>
      </c>
      <c r="C542" s="7" t="s">
        <v>1310</v>
      </c>
      <c r="D542" s="6" t="s">
        <v>240</v>
      </c>
      <c r="E542" s="6" t="s">
        <v>240</v>
      </c>
      <c r="F542" s="8">
        <v>1.5</v>
      </c>
      <c r="G542" s="9">
        <v>1</v>
      </c>
      <c r="H542" s="9">
        <v>4</v>
      </c>
      <c r="I542" s="10">
        <v>0.81</v>
      </c>
      <c r="J542" s="11" t="s">
        <v>241</v>
      </c>
      <c r="K542" s="11" t="s">
        <v>241</v>
      </c>
      <c r="L542" s="11" t="s">
        <v>241</v>
      </c>
      <c r="M542" s="11">
        <v>1.0795999999999999</v>
      </c>
      <c r="N542" s="11">
        <v>0.3644</v>
      </c>
    </row>
    <row r="543" spans="2:14" ht="15" customHeight="1" x14ac:dyDescent="0.25">
      <c r="B543" s="6" t="s">
        <v>1311</v>
      </c>
      <c r="C543" s="7" t="s">
        <v>1312</v>
      </c>
      <c r="D543" s="6" t="s">
        <v>240</v>
      </c>
      <c r="E543" s="6" t="s">
        <v>240</v>
      </c>
      <c r="F543" s="8">
        <v>18.100000000000001</v>
      </c>
      <c r="G543" s="9">
        <v>5</v>
      </c>
      <c r="H543" s="9">
        <v>52</v>
      </c>
      <c r="I543" s="10">
        <v>1</v>
      </c>
      <c r="J543" s="11" t="s">
        <v>241</v>
      </c>
      <c r="K543" s="11">
        <v>0.69269999999999998</v>
      </c>
      <c r="L543" s="11">
        <v>1.2670999999999999</v>
      </c>
      <c r="M543" s="11">
        <v>7.0284000000000004</v>
      </c>
      <c r="N543" s="11">
        <v>0.26939999999999997</v>
      </c>
    </row>
    <row r="544" spans="2:14" ht="15" customHeight="1" x14ac:dyDescent="0.25">
      <c r="B544" s="6" t="s">
        <v>1313</v>
      </c>
      <c r="C544" s="7" t="s">
        <v>1314</v>
      </c>
      <c r="D544" s="6" t="s">
        <v>240</v>
      </c>
      <c r="E544" s="6" t="s">
        <v>240</v>
      </c>
      <c r="F544" s="8">
        <v>6</v>
      </c>
      <c r="G544" s="9">
        <v>1</v>
      </c>
      <c r="H544" s="9">
        <v>18</v>
      </c>
      <c r="I544" s="10">
        <v>1</v>
      </c>
      <c r="J544" s="11" t="s">
        <v>241</v>
      </c>
      <c r="K544" s="11" t="s">
        <v>241</v>
      </c>
      <c r="L544" s="11" t="s">
        <v>241</v>
      </c>
      <c r="M544" s="11">
        <v>2.5794999999999999</v>
      </c>
      <c r="N544" s="11">
        <v>0.23130000000000001</v>
      </c>
    </row>
    <row r="545" spans="2:14" ht="15" customHeight="1" x14ac:dyDescent="0.25">
      <c r="B545" s="6" t="s">
        <v>1315</v>
      </c>
      <c r="C545" s="7" t="s">
        <v>1316</v>
      </c>
      <c r="D545" s="6" t="s">
        <v>240</v>
      </c>
      <c r="E545" s="6" t="s">
        <v>240</v>
      </c>
      <c r="F545" s="8">
        <v>1.3</v>
      </c>
      <c r="G545" s="9">
        <v>1</v>
      </c>
      <c r="H545" s="9">
        <v>4</v>
      </c>
      <c r="I545" s="10">
        <v>0.83</v>
      </c>
      <c r="J545" s="11" t="s">
        <v>241</v>
      </c>
      <c r="K545" s="11" t="s">
        <v>241</v>
      </c>
      <c r="L545" s="11" t="s">
        <v>241</v>
      </c>
      <c r="M545" s="11">
        <v>1.0766</v>
      </c>
      <c r="N545" s="11">
        <v>0.30559999999999998</v>
      </c>
    </row>
    <row r="546" spans="2:14" ht="15" customHeight="1" x14ac:dyDescent="0.25">
      <c r="B546" s="6" t="s">
        <v>1317</v>
      </c>
      <c r="C546" s="7" t="s">
        <v>1318</v>
      </c>
      <c r="D546" s="6" t="s">
        <v>240</v>
      </c>
      <c r="E546" s="6" t="s">
        <v>240</v>
      </c>
      <c r="F546" s="8">
        <v>12</v>
      </c>
      <c r="G546" s="9">
        <v>3</v>
      </c>
      <c r="H546" s="9">
        <v>35</v>
      </c>
      <c r="I546" s="10">
        <v>1.25</v>
      </c>
      <c r="J546" s="11" t="s">
        <v>241</v>
      </c>
      <c r="K546" s="11">
        <v>1.8817999999999999</v>
      </c>
      <c r="L546" s="11">
        <v>3.0116999999999998</v>
      </c>
      <c r="M546" s="11">
        <v>10.9169</v>
      </c>
      <c r="N546" s="11">
        <v>0.4607</v>
      </c>
    </row>
    <row r="547" spans="2:14" ht="15" customHeight="1" x14ac:dyDescent="0.25">
      <c r="B547" s="6" t="s">
        <v>1319</v>
      </c>
      <c r="C547" s="7" t="s">
        <v>1320</v>
      </c>
      <c r="D547" s="6" t="s">
        <v>240</v>
      </c>
      <c r="E547" s="6" t="s">
        <v>240</v>
      </c>
      <c r="F547" s="8">
        <v>7.3</v>
      </c>
      <c r="G547" s="9">
        <v>2</v>
      </c>
      <c r="H547" s="9">
        <v>23</v>
      </c>
      <c r="I547" s="10">
        <v>1</v>
      </c>
      <c r="J547" s="11" t="s">
        <v>241</v>
      </c>
      <c r="K547" s="11">
        <v>1.7794000000000001</v>
      </c>
      <c r="L547" s="11">
        <v>2.8416000000000001</v>
      </c>
      <c r="M547" s="11">
        <v>7.4625000000000004</v>
      </c>
      <c r="N547" s="11">
        <v>0.4768</v>
      </c>
    </row>
    <row r="548" spans="2:14" ht="15" customHeight="1" x14ac:dyDescent="0.25">
      <c r="B548" s="6" t="s">
        <v>1321</v>
      </c>
      <c r="C548" s="7" t="s">
        <v>1322</v>
      </c>
      <c r="D548" s="6" t="s">
        <v>240</v>
      </c>
      <c r="E548" s="6" t="s">
        <v>240</v>
      </c>
      <c r="F548" s="8">
        <v>4.2</v>
      </c>
      <c r="G548" s="9">
        <v>1</v>
      </c>
      <c r="H548" s="9">
        <v>13</v>
      </c>
      <c r="I548" s="10">
        <v>1</v>
      </c>
      <c r="J548" s="11" t="s">
        <v>241</v>
      </c>
      <c r="K548" s="11" t="s">
        <v>241</v>
      </c>
      <c r="L548" s="11" t="s">
        <v>241</v>
      </c>
      <c r="M548" s="11">
        <v>1.593</v>
      </c>
      <c r="N548" s="11">
        <v>0.26400000000000001</v>
      </c>
    </row>
    <row r="549" spans="2:14" ht="15" customHeight="1" x14ac:dyDescent="0.25">
      <c r="B549" s="6" t="s">
        <v>1323</v>
      </c>
      <c r="C549" s="7" t="s">
        <v>1324</v>
      </c>
      <c r="D549" s="6" t="s">
        <v>240</v>
      </c>
      <c r="E549" s="6" t="s">
        <v>240</v>
      </c>
      <c r="F549" s="8">
        <v>1.5</v>
      </c>
      <c r="G549" s="9">
        <v>1</v>
      </c>
      <c r="H549" s="9">
        <v>4</v>
      </c>
      <c r="I549" s="10">
        <v>1.33</v>
      </c>
      <c r="J549" s="11" t="s">
        <v>241</v>
      </c>
      <c r="K549" s="11" t="s">
        <v>241</v>
      </c>
      <c r="L549" s="11" t="s">
        <v>241</v>
      </c>
      <c r="M549" s="11">
        <v>0.75590000000000002</v>
      </c>
      <c r="N549" s="11">
        <v>0.28210000000000002</v>
      </c>
    </row>
    <row r="550" spans="2:14" ht="15" customHeight="1" x14ac:dyDescent="0.25">
      <c r="B550" s="6" t="s">
        <v>1325</v>
      </c>
      <c r="C550" s="7" t="s">
        <v>1326</v>
      </c>
      <c r="D550" s="6" t="s">
        <v>240</v>
      </c>
      <c r="E550" s="6" t="s">
        <v>240</v>
      </c>
      <c r="F550" s="8">
        <v>1.5</v>
      </c>
      <c r="G550" s="9">
        <v>1</v>
      </c>
      <c r="H550" s="9">
        <v>5</v>
      </c>
      <c r="I550" s="10">
        <v>1.52</v>
      </c>
      <c r="J550" s="11" t="s">
        <v>241</v>
      </c>
      <c r="K550" s="11" t="s">
        <v>241</v>
      </c>
      <c r="L550" s="11" t="s">
        <v>241</v>
      </c>
      <c r="M550" s="11">
        <v>0.52549999999999997</v>
      </c>
      <c r="N550" s="11">
        <v>0.21679999999999999</v>
      </c>
    </row>
    <row r="551" spans="2:14" ht="15" customHeight="1" x14ac:dyDescent="0.25">
      <c r="B551" s="6" t="s">
        <v>1327</v>
      </c>
      <c r="C551" s="7" t="s">
        <v>1328</v>
      </c>
      <c r="D551" s="6" t="s">
        <v>240</v>
      </c>
      <c r="E551" s="6" t="s">
        <v>240</v>
      </c>
      <c r="F551" s="8">
        <v>1</v>
      </c>
      <c r="G551" s="9">
        <v>1</v>
      </c>
      <c r="H551" s="9">
        <v>3</v>
      </c>
      <c r="I551" s="10">
        <v>2</v>
      </c>
      <c r="J551" s="11" t="s">
        <v>241</v>
      </c>
      <c r="K551" s="11" t="s">
        <v>241</v>
      </c>
      <c r="L551" s="11" t="s">
        <v>241</v>
      </c>
      <c r="M551" s="11">
        <v>0.24529999999999999</v>
      </c>
      <c r="N551" s="11">
        <v>0.1225</v>
      </c>
    </row>
    <row r="552" spans="2:14" ht="15" customHeight="1" x14ac:dyDescent="0.25">
      <c r="B552" s="6" t="s">
        <v>1329</v>
      </c>
      <c r="C552" s="7" t="s">
        <v>1330</v>
      </c>
      <c r="D552" s="6" t="s">
        <v>240</v>
      </c>
      <c r="E552" s="6" t="s">
        <v>240</v>
      </c>
      <c r="F552" s="8">
        <v>12.4</v>
      </c>
      <c r="G552" s="9">
        <v>3</v>
      </c>
      <c r="H552" s="9">
        <v>34</v>
      </c>
      <c r="I552" s="10">
        <v>1</v>
      </c>
      <c r="J552" s="11" t="s">
        <v>241</v>
      </c>
      <c r="K552" s="11">
        <v>0</v>
      </c>
      <c r="L552" s="11">
        <v>1.3146</v>
      </c>
      <c r="M552" s="11">
        <v>3.9439000000000002</v>
      </c>
      <c r="N552" s="11">
        <v>0.2681</v>
      </c>
    </row>
    <row r="553" spans="2:14" ht="15" customHeight="1" x14ac:dyDescent="0.25">
      <c r="B553" s="6" t="s">
        <v>1331</v>
      </c>
      <c r="C553" s="7" t="s">
        <v>1332</v>
      </c>
      <c r="D553" s="6" t="s">
        <v>240</v>
      </c>
      <c r="E553" s="6" t="s">
        <v>240</v>
      </c>
      <c r="F553" s="8">
        <v>5.5</v>
      </c>
      <c r="G553" s="9">
        <v>1</v>
      </c>
      <c r="H553" s="9">
        <v>17</v>
      </c>
      <c r="I553" s="10">
        <v>1.46</v>
      </c>
      <c r="J553" s="11" t="s">
        <v>241</v>
      </c>
      <c r="K553" s="11" t="s">
        <v>241</v>
      </c>
      <c r="L553" s="11" t="s">
        <v>241</v>
      </c>
      <c r="M553" s="11">
        <v>1.5324</v>
      </c>
      <c r="N553" s="11">
        <v>0.25900000000000001</v>
      </c>
    </row>
    <row r="554" spans="2:14" ht="15" customHeight="1" x14ac:dyDescent="0.25">
      <c r="B554" s="6" t="s">
        <v>1333</v>
      </c>
      <c r="C554" s="7" t="s">
        <v>1334</v>
      </c>
      <c r="D554" s="6" t="s">
        <v>290</v>
      </c>
      <c r="E554" s="6" t="s">
        <v>240</v>
      </c>
      <c r="F554" s="8">
        <v>3.3</v>
      </c>
      <c r="G554" s="9">
        <v>1</v>
      </c>
      <c r="H554" s="9">
        <v>10</v>
      </c>
      <c r="I554" s="10">
        <v>2</v>
      </c>
      <c r="J554" s="11">
        <v>0.44309999999999999</v>
      </c>
      <c r="K554" s="11" t="s">
        <v>241</v>
      </c>
      <c r="L554" s="11" t="s">
        <v>241</v>
      </c>
      <c r="M554" s="11">
        <v>0.8337</v>
      </c>
      <c r="N554" s="11">
        <v>0.22170000000000001</v>
      </c>
    </row>
    <row r="555" spans="2:14" ht="15" customHeight="1" x14ac:dyDescent="0.25">
      <c r="B555" s="6" t="s">
        <v>1335</v>
      </c>
      <c r="C555" s="7" t="s">
        <v>1336</v>
      </c>
      <c r="D555" s="6" t="s">
        <v>240</v>
      </c>
      <c r="E555" s="6" t="s">
        <v>240</v>
      </c>
      <c r="F555" s="8">
        <v>1</v>
      </c>
      <c r="G555" s="9">
        <v>1</v>
      </c>
      <c r="H555" s="9">
        <v>3</v>
      </c>
      <c r="I555" s="10">
        <v>2</v>
      </c>
      <c r="J555" s="11" t="s">
        <v>241</v>
      </c>
      <c r="K555" s="11" t="s">
        <v>241</v>
      </c>
      <c r="L555" s="11" t="s">
        <v>241</v>
      </c>
      <c r="M555" s="11">
        <v>9.8599999999999993E-2</v>
      </c>
      <c r="N555" s="11">
        <v>7.8799999999999995E-2</v>
      </c>
    </row>
    <row r="556" spans="2:14" ht="15" customHeight="1" x14ac:dyDescent="0.25">
      <c r="B556" s="6" t="s">
        <v>1337</v>
      </c>
      <c r="C556" s="7" t="s">
        <v>1338</v>
      </c>
      <c r="D556" s="6" t="s">
        <v>240</v>
      </c>
      <c r="E556" s="6" t="s">
        <v>240</v>
      </c>
      <c r="F556" s="8">
        <v>8</v>
      </c>
      <c r="G556" s="9">
        <v>2</v>
      </c>
      <c r="H556" s="9">
        <v>22</v>
      </c>
      <c r="I556" s="10">
        <v>1.49</v>
      </c>
      <c r="J556" s="11" t="s">
        <v>241</v>
      </c>
      <c r="K556" s="11">
        <v>8.0799999999999997E-2</v>
      </c>
      <c r="L556" s="11">
        <v>1.1165</v>
      </c>
      <c r="M556" s="11">
        <v>2.3138000000000001</v>
      </c>
      <c r="N556" s="11">
        <v>0.22620000000000001</v>
      </c>
    </row>
    <row r="557" spans="2:14" ht="15" customHeight="1" x14ac:dyDescent="0.25">
      <c r="B557" s="6" t="s">
        <v>1339</v>
      </c>
      <c r="C557" s="7" t="s">
        <v>1340</v>
      </c>
      <c r="D557" s="6" t="s">
        <v>240</v>
      </c>
      <c r="E557" s="6" t="s">
        <v>240</v>
      </c>
      <c r="F557" s="8">
        <v>2</v>
      </c>
      <c r="G557" s="9">
        <v>1</v>
      </c>
      <c r="H557" s="9">
        <v>6</v>
      </c>
      <c r="I557" s="10">
        <v>1.81</v>
      </c>
      <c r="J557" s="11" t="s">
        <v>241</v>
      </c>
      <c r="K557" s="11" t="s">
        <v>241</v>
      </c>
      <c r="L557" s="11" t="s">
        <v>241</v>
      </c>
      <c r="M557" s="11">
        <v>0.55989999999999995</v>
      </c>
      <c r="N557" s="11">
        <v>0.23269999999999999</v>
      </c>
    </row>
    <row r="558" spans="2:14" ht="15" customHeight="1" x14ac:dyDescent="0.25">
      <c r="B558" s="6" t="s">
        <v>1341</v>
      </c>
      <c r="C558" s="7" t="s">
        <v>1342</v>
      </c>
      <c r="D558" s="6" t="s">
        <v>240</v>
      </c>
      <c r="E558" s="6" t="s">
        <v>240</v>
      </c>
      <c r="F558" s="8">
        <v>1.1000000000000001</v>
      </c>
      <c r="G558" s="9">
        <v>1</v>
      </c>
      <c r="H558" s="9">
        <v>3</v>
      </c>
      <c r="I558" s="10">
        <v>1</v>
      </c>
      <c r="J558" s="11" t="s">
        <v>241</v>
      </c>
      <c r="K558" s="11" t="s">
        <v>241</v>
      </c>
      <c r="L558" s="11" t="s">
        <v>241</v>
      </c>
      <c r="M558" s="11">
        <v>0.25369999999999998</v>
      </c>
      <c r="N558" s="11">
        <v>0.1961</v>
      </c>
    </row>
    <row r="559" spans="2:14" ht="15" customHeight="1" x14ac:dyDescent="0.25">
      <c r="B559" s="6" t="s">
        <v>1343</v>
      </c>
      <c r="C559" s="7" t="s">
        <v>1344</v>
      </c>
      <c r="D559" s="6" t="s">
        <v>240</v>
      </c>
      <c r="E559" s="6" t="s">
        <v>240</v>
      </c>
      <c r="F559" s="8">
        <v>5.6</v>
      </c>
      <c r="G559" s="9">
        <v>1</v>
      </c>
      <c r="H559" s="9">
        <v>17</v>
      </c>
      <c r="I559" s="10">
        <v>1</v>
      </c>
      <c r="J559" s="11" t="s">
        <v>241</v>
      </c>
      <c r="K559" s="11" t="s">
        <v>241</v>
      </c>
      <c r="L559" s="11" t="s">
        <v>241</v>
      </c>
      <c r="M559" s="11">
        <v>1.4226000000000001</v>
      </c>
      <c r="N559" s="11">
        <v>0.23</v>
      </c>
    </row>
    <row r="560" spans="2:14" ht="15" customHeight="1" x14ac:dyDescent="0.25">
      <c r="B560" s="6" t="s">
        <v>1345</v>
      </c>
      <c r="C560" s="7" t="s">
        <v>1346</v>
      </c>
      <c r="D560" s="6" t="s">
        <v>290</v>
      </c>
      <c r="E560" s="6" t="s">
        <v>240</v>
      </c>
      <c r="F560" s="8">
        <v>2.7</v>
      </c>
      <c r="G560" s="9">
        <v>1</v>
      </c>
      <c r="H560" s="9">
        <v>7</v>
      </c>
      <c r="I560" s="10">
        <v>1.22</v>
      </c>
      <c r="J560" s="11">
        <v>0.13919999999999999</v>
      </c>
      <c r="K560" s="11" t="s">
        <v>241</v>
      </c>
      <c r="L560" s="11" t="s">
        <v>241</v>
      </c>
      <c r="M560" s="11">
        <v>0.63629999999999998</v>
      </c>
      <c r="N560" s="11">
        <v>0.20180000000000001</v>
      </c>
    </row>
    <row r="561" spans="2:14" ht="15" customHeight="1" x14ac:dyDescent="0.25">
      <c r="B561" s="6" t="s">
        <v>1347</v>
      </c>
      <c r="C561" s="7" t="s">
        <v>1348</v>
      </c>
      <c r="D561" s="6" t="s">
        <v>290</v>
      </c>
      <c r="E561" s="6" t="s">
        <v>240</v>
      </c>
      <c r="F561" s="8">
        <v>2.2999999999999998</v>
      </c>
      <c r="G561" s="9">
        <v>1</v>
      </c>
      <c r="H561" s="9">
        <v>6</v>
      </c>
      <c r="I561" s="10">
        <v>1.75</v>
      </c>
      <c r="J561" s="11">
        <v>0.16589999999999999</v>
      </c>
      <c r="K561" s="11" t="s">
        <v>241</v>
      </c>
      <c r="L561" s="11" t="s">
        <v>241</v>
      </c>
      <c r="M561" s="11">
        <v>0.58630000000000004</v>
      </c>
      <c r="N561" s="11">
        <v>0.23719999999999999</v>
      </c>
    </row>
    <row r="562" spans="2:14" ht="15" customHeight="1" x14ac:dyDescent="0.25">
      <c r="B562" s="6" t="s">
        <v>1349</v>
      </c>
      <c r="C562" s="7" t="s">
        <v>1350</v>
      </c>
      <c r="D562" s="6" t="s">
        <v>240</v>
      </c>
      <c r="E562" s="6" t="s">
        <v>240</v>
      </c>
      <c r="F562" s="8">
        <v>1.1000000000000001</v>
      </c>
      <c r="G562" s="9">
        <v>1</v>
      </c>
      <c r="H562" s="9">
        <v>3</v>
      </c>
      <c r="I562" s="10">
        <v>2</v>
      </c>
      <c r="J562" s="11" t="s">
        <v>241</v>
      </c>
      <c r="K562" s="11" t="s">
        <v>241</v>
      </c>
      <c r="L562" s="11" t="s">
        <v>241</v>
      </c>
      <c r="M562" s="11">
        <v>0.15260000000000001</v>
      </c>
      <c r="N562" s="11">
        <v>0.11890000000000001</v>
      </c>
    </row>
    <row r="563" spans="2:14" ht="15" customHeight="1" x14ac:dyDescent="0.25">
      <c r="B563" s="6" t="s">
        <v>1351</v>
      </c>
      <c r="C563" s="7" t="s">
        <v>1352</v>
      </c>
      <c r="D563" s="6" t="s">
        <v>290</v>
      </c>
      <c r="E563" s="6" t="s">
        <v>240</v>
      </c>
      <c r="F563" s="8">
        <v>6.2</v>
      </c>
      <c r="G563" s="9">
        <v>1</v>
      </c>
      <c r="H563" s="9">
        <v>17</v>
      </c>
      <c r="I563" s="10">
        <v>1.48</v>
      </c>
      <c r="J563" s="11">
        <v>0.28870000000000001</v>
      </c>
      <c r="K563" s="11" t="s">
        <v>241</v>
      </c>
      <c r="L563" s="11" t="s">
        <v>241</v>
      </c>
      <c r="M563" s="11">
        <v>1.5986</v>
      </c>
      <c r="N563" s="11">
        <v>0.24260000000000001</v>
      </c>
    </row>
    <row r="564" spans="2:14" ht="15" customHeight="1" x14ac:dyDescent="0.25">
      <c r="B564" s="6" t="s">
        <v>1353</v>
      </c>
      <c r="C564" s="7" t="s">
        <v>1354</v>
      </c>
      <c r="D564" s="6" t="s">
        <v>240</v>
      </c>
      <c r="E564" s="6" t="s">
        <v>240</v>
      </c>
      <c r="F564" s="8">
        <v>1.6</v>
      </c>
      <c r="G564" s="9">
        <v>1</v>
      </c>
      <c r="H564" s="9">
        <v>5</v>
      </c>
      <c r="I564" s="10">
        <v>1.68</v>
      </c>
      <c r="J564" s="11" t="s">
        <v>241</v>
      </c>
      <c r="K564" s="11" t="s">
        <v>241</v>
      </c>
      <c r="L564" s="11" t="s">
        <v>241</v>
      </c>
      <c r="M564" s="11">
        <v>0.34150000000000003</v>
      </c>
      <c r="N564" s="11">
        <v>0.25240000000000001</v>
      </c>
    </row>
    <row r="565" spans="2:14" ht="15" customHeight="1" x14ac:dyDescent="0.25">
      <c r="B565" s="6" t="s">
        <v>1355</v>
      </c>
      <c r="C565" s="7" t="s">
        <v>1356</v>
      </c>
      <c r="D565" s="6" t="s">
        <v>240</v>
      </c>
      <c r="E565" s="6" t="s">
        <v>240</v>
      </c>
      <c r="F565" s="8">
        <v>1.3</v>
      </c>
      <c r="G565" s="9">
        <v>1</v>
      </c>
      <c r="H565" s="9">
        <v>4</v>
      </c>
      <c r="I565" s="10">
        <v>1</v>
      </c>
      <c r="J565" s="11" t="s">
        <v>241</v>
      </c>
      <c r="K565" s="11" t="s">
        <v>241</v>
      </c>
      <c r="L565" s="11" t="s">
        <v>241</v>
      </c>
      <c r="M565" s="11">
        <v>0.3453</v>
      </c>
      <c r="N565" s="11">
        <v>0.18360000000000001</v>
      </c>
    </row>
    <row r="566" spans="2:14" ht="15" customHeight="1" x14ac:dyDescent="0.25">
      <c r="B566" s="6" t="s">
        <v>1357</v>
      </c>
      <c r="C566" s="7" t="s">
        <v>1358</v>
      </c>
      <c r="D566" s="6" t="s">
        <v>290</v>
      </c>
      <c r="E566" s="6" t="s">
        <v>240</v>
      </c>
      <c r="F566" s="8">
        <v>7.9</v>
      </c>
      <c r="G566" s="9">
        <v>2</v>
      </c>
      <c r="H566" s="9">
        <v>22</v>
      </c>
      <c r="I566" s="10">
        <v>1.41</v>
      </c>
      <c r="J566" s="11">
        <v>0.3453</v>
      </c>
      <c r="K566" s="11">
        <v>8.1900000000000001E-2</v>
      </c>
      <c r="L566" s="11">
        <v>1.0900000000000001</v>
      </c>
      <c r="M566" s="11">
        <v>2.2618999999999998</v>
      </c>
      <c r="N566" s="11">
        <v>0.23799999999999999</v>
      </c>
    </row>
    <row r="567" spans="2:14" ht="15" customHeight="1" x14ac:dyDescent="0.25">
      <c r="B567" s="6" t="s">
        <v>1359</v>
      </c>
      <c r="C567" s="7" t="s">
        <v>1360</v>
      </c>
      <c r="D567" s="6" t="s">
        <v>290</v>
      </c>
      <c r="E567" s="6" t="s">
        <v>240</v>
      </c>
      <c r="F567" s="8">
        <v>3.5</v>
      </c>
      <c r="G567" s="9">
        <v>1</v>
      </c>
      <c r="H567" s="9">
        <v>9</v>
      </c>
      <c r="I567" s="10">
        <v>1.47</v>
      </c>
      <c r="J567" s="11">
        <v>0.2676</v>
      </c>
      <c r="K567" s="11" t="s">
        <v>241</v>
      </c>
      <c r="L567" s="11" t="s">
        <v>241</v>
      </c>
      <c r="M567" s="11">
        <v>0.93679999999999997</v>
      </c>
      <c r="N567" s="11">
        <v>0.19919999999999999</v>
      </c>
    </row>
    <row r="568" spans="2:14" ht="15" customHeight="1" x14ac:dyDescent="0.25">
      <c r="B568" s="6" t="s">
        <v>1361</v>
      </c>
      <c r="C568" s="7" t="s">
        <v>1362</v>
      </c>
      <c r="D568" s="6" t="s">
        <v>240</v>
      </c>
      <c r="E568" s="6" t="s">
        <v>240</v>
      </c>
      <c r="F568" s="8">
        <v>1.2</v>
      </c>
      <c r="G568" s="9">
        <v>1</v>
      </c>
      <c r="H568" s="9">
        <v>4</v>
      </c>
      <c r="I568" s="10">
        <v>2</v>
      </c>
      <c r="J568" s="11" t="s">
        <v>241</v>
      </c>
      <c r="K568" s="11" t="s">
        <v>241</v>
      </c>
      <c r="L568" s="11" t="s">
        <v>241</v>
      </c>
      <c r="M568" s="11">
        <v>0.2261</v>
      </c>
      <c r="N568" s="11">
        <v>0.17080000000000001</v>
      </c>
    </row>
    <row r="569" spans="2:14" ht="15" customHeight="1" x14ac:dyDescent="0.25">
      <c r="B569" s="6" t="s">
        <v>1363</v>
      </c>
      <c r="C569" s="7" t="s">
        <v>1364</v>
      </c>
      <c r="D569" s="6" t="s">
        <v>240</v>
      </c>
      <c r="E569" s="6" t="s">
        <v>240</v>
      </c>
      <c r="F569" s="8">
        <v>1</v>
      </c>
      <c r="G569" s="9">
        <v>1</v>
      </c>
      <c r="H569" s="9">
        <v>3</v>
      </c>
      <c r="I569" s="10">
        <v>1.74</v>
      </c>
      <c r="J569" s="11" t="s">
        <v>241</v>
      </c>
      <c r="K569" s="11" t="s">
        <v>241</v>
      </c>
      <c r="L569" s="11" t="s">
        <v>241</v>
      </c>
      <c r="M569" s="11">
        <v>0.15160000000000001</v>
      </c>
      <c r="N569" s="11">
        <v>0.121</v>
      </c>
    </row>
    <row r="570" spans="2:14" ht="15" customHeight="1" x14ac:dyDescent="0.25">
      <c r="B570" s="6" t="s">
        <v>1365</v>
      </c>
      <c r="C570" s="7" t="s">
        <v>1366</v>
      </c>
      <c r="D570" s="6" t="s">
        <v>240</v>
      </c>
      <c r="E570" s="6" t="s">
        <v>240</v>
      </c>
      <c r="F570" s="8">
        <v>5.3</v>
      </c>
      <c r="G570" s="9">
        <v>2</v>
      </c>
      <c r="H570" s="9">
        <v>21</v>
      </c>
      <c r="I570" s="10">
        <v>1</v>
      </c>
      <c r="J570" s="11" t="s">
        <v>241</v>
      </c>
      <c r="K570" s="11">
        <v>2.1808000000000001</v>
      </c>
      <c r="L570" s="11">
        <v>1.2351000000000001</v>
      </c>
      <c r="M570" s="11">
        <v>4.6509999999999998</v>
      </c>
      <c r="N570" s="11">
        <v>0.29470000000000002</v>
      </c>
    </row>
    <row r="571" spans="2:14" ht="15" customHeight="1" x14ac:dyDescent="0.25">
      <c r="B571" s="6" t="s">
        <v>1367</v>
      </c>
      <c r="C571" s="7" t="s">
        <v>1368</v>
      </c>
      <c r="D571" s="6" t="s">
        <v>240</v>
      </c>
      <c r="E571" s="6" t="s">
        <v>240</v>
      </c>
      <c r="F571" s="8">
        <v>2.1</v>
      </c>
      <c r="G571" s="9">
        <v>1</v>
      </c>
      <c r="H571" s="9">
        <v>9</v>
      </c>
      <c r="I571" s="10">
        <v>1</v>
      </c>
      <c r="J571" s="11" t="s">
        <v>241</v>
      </c>
      <c r="K571" s="11" t="s">
        <v>241</v>
      </c>
      <c r="L571" s="11" t="s">
        <v>241</v>
      </c>
      <c r="M571" s="11">
        <v>3.3464</v>
      </c>
      <c r="N571" s="11">
        <v>0.25319999999999998</v>
      </c>
    </row>
    <row r="572" spans="2:14" ht="15" customHeight="1" x14ac:dyDescent="0.25">
      <c r="B572" s="6" t="s">
        <v>1369</v>
      </c>
      <c r="C572" s="7" t="s">
        <v>1370</v>
      </c>
      <c r="D572" s="6" t="s">
        <v>240</v>
      </c>
      <c r="E572" s="6" t="s">
        <v>240</v>
      </c>
      <c r="F572" s="8">
        <v>5.5</v>
      </c>
      <c r="G572" s="9">
        <v>1</v>
      </c>
      <c r="H572" s="9">
        <v>18</v>
      </c>
      <c r="I572" s="10">
        <v>1</v>
      </c>
      <c r="J572" s="11" t="s">
        <v>241</v>
      </c>
      <c r="K572" s="11" t="s">
        <v>241</v>
      </c>
      <c r="L572" s="11" t="s">
        <v>241</v>
      </c>
      <c r="M572" s="11">
        <v>2.4481000000000002</v>
      </c>
      <c r="N572" s="11">
        <v>0.26960000000000001</v>
      </c>
    </row>
    <row r="573" spans="2:14" ht="15" customHeight="1" x14ac:dyDescent="0.25">
      <c r="B573" s="6" t="s">
        <v>1371</v>
      </c>
      <c r="C573" s="7" t="s">
        <v>1372</v>
      </c>
      <c r="D573" s="6" t="s">
        <v>240</v>
      </c>
      <c r="E573" s="6" t="s">
        <v>240</v>
      </c>
      <c r="F573" s="8">
        <v>2.1</v>
      </c>
      <c r="G573" s="9">
        <v>1</v>
      </c>
      <c r="H573" s="9">
        <v>7</v>
      </c>
      <c r="I573" s="10">
        <v>1</v>
      </c>
      <c r="J573" s="11" t="s">
        <v>241</v>
      </c>
      <c r="K573" s="11" t="s">
        <v>241</v>
      </c>
      <c r="L573" s="11" t="s">
        <v>241</v>
      </c>
      <c r="M573" s="11">
        <v>1.3694999999999999</v>
      </c>
      <c r="N573" s="11">
        <v>0.27939999999999998</v>
      </c>
    </row>
    <row r="574" spans="2:14" ht="15" customHeight="1" x14ac:dyDescent="0.25">
      <c r="B574" s="6" t="s">
        <v>1373</v>
      </c>
      <c r="C574" s="7" t="s">
        <v>1374</v>
      </c>
      <c r="D574" s="6" t="s">
        <v>240</v>
      </c>
      <c r="E574" s="6" t="s">
        <v>240</v>
      </c>
      <c r="F574" s="8">
        <v>3.3</v>
      </c>
      <c r="G574" s="9">
        <v>1</v>
      </c>
      <c r="H574" s="9">
        <v>9</v>
      </c>
      <c r="I574" s="10">
        <v>0.8</v>
      </c>
      <c r="J574" s="11" t="s">
        <v>241</v>
      </c>
      <c r="K574" s="11" t="s">
        <v>241</v>
      </c>
      <c r="L574" s="11" t="s">
        <v>241</v>
      </c>
      <c r="M574" s="11">
        <v>1.9484999999999999</v>
      </c>
      <c r="N574" s="11">
        <v>0.3896</v>
      </c>
    </row>
    <row r="575" spans="2:14" ht="15" customHeight="1" x14ac:dyDescent="0.25">
      <c r="B575" s="6" t="s">
        <v>1375</v>
      </c>
      <c r="C575" s="7" t="s">
        <v>1376</v>
      </c>
      <c r="D575" s="6" t="s">
        <v>240</v>
      </c>
      <c r="E575" s="6" t="s">
        <v>240</v>
      </c>
      <c r="F575" s="8">
        <v>1.3</v>
      </c>
      <c r="G575" s="9">
        <v>1</v>
      </c>
      <c r="H575" s="9">
        <v>4</v>
      </c>
      <c r="I575" s="10">
        <v>1.1399999999999999</v>
      </c>
      <c r="J575" s="11" t="s">
        <v>241</v>
      </c>
      <c r="K575" s="11" t="s">
        <v>241</v>
      </c>
      <c r="L575" s="11" t="s">
        <v>241</v>
      </c>
      <c r="M575" s="11">
        <v>0.90390000000000004</v>
      </c>
      <c r="N575" s="11">
        <v>0.32869999999999999</v>
      </c>
    </row>
    <row r="576" spans="2:14" ht="15" customHeight="1" x14ac:dyDescent="0.25">
      <c r="B576" s="6" t="s">
        <v>1377</v>
      </c>
      <c r="C576" s="7" t="s">
        <v>1378</v>
      </c>
      <c r="D576" s="6" t="s">
        <v>240</v>
      </c>
      <c r="E576" s="6" t="s">
        <v>240</v>
      </c>
      <c r="F576" s="8">
        <v>2.7</v>
      </c>
      <c r="G576" s="9">
        <v>1</v>
      </c>
      <c r="H576" s="9">
        <v>7</v>
      </c>
      <c r="I576" s="10">
        <v>0.95</v>
      </c>
      <c r="J576" s="11" t="s">
        <v>241</v>
      </c>
      <c r="K576" s="11" t="s">
        <v>241</v>
      </c>
      <c r="L576" s="11" t="s">
        <v>241</v>
      </c>
      <c r="M576" s="11">
        <v>1.3389</v>
      </c>
      <c r="N576" s="11">
        <v>0.2954</v>
      </c>
    </row>
    <row r="577" spans="2:14" ht="15" customHeight="1" x14ac:dyDescent="0.25">
      <c r="B577" s="6" t="s">
        <v>1379</v>
      </c>
      <c r="C577" s="7" t="s">
        <v>1380</v>
      </c>
      <c r="D577" s="6" t="s">
        <v>240</v>
      </c>
      <c r="E577" s="6" t="s">
        <v>240</v>
      </c>
      <c r="F577" s="8">
        <v>1</v>
      </c>
      <c r="G577" s="9">
        <v>1</v>
      </c>
      <c r="H577" s="9">
        <v>3</v>
      </c>
      <c r="I577" s="10">
        <v>0.95</v>
      </c>
      <c r="J577" s="11" t="s">
        <v>241</v>
      </c>
      <c r="K577" s="11" t="s">
        <v>241</v>
      </c>
      <c r="L577" s="11" t="s">
        <v>241</v>
      </c>
      <c r="M577" s="11">
        <v>0.78510000000000002</v>
      </c>
      <c r="N577" s="11">
        <v>0.29070000000000001</v>
      </c>
    </row>
    <row r="578" spans="2:14" ht="15" customHeight="1" x14ac:dyDescent="0.25">
      <c r="B578" s="6" t="s">
        <v>1381</v>
      </c>
      <c r="C578" s="7" t="s">
        <v>1382</v>
      </c>
      <c r="D578" s="6" t="s">
        <v>240</v>
      </c>
      <c r="E578" s="6" t="s">
        <v>240</v>
      </c>
      <c r="F578" s="8">
        <v>1.1000000000000001</v>
      </c>
      <c r="G578" s="9">
        <v>1</v>
      </c>
      <c r="H578" s="9">
        <v>3</v>
      </c>
      <c r="I578" s="10">
        <v>1</v>
      </c>
      <c r="J578" s="11" t="s">
        <v>241</v>
      </c>
      <c r="K578" s="11" t="s">
        <v>241</v>
      </c>
      <c r="L578" s="11" t="s">
        <v>241</v>
      </c>
      <c r="M578" s="11">
        <v>0.71389999999999998</v>
      </c>
      <c r="N578" s="11">
        <v>0.27210000000000001</v>
      </c>
    </row>
    <row r="579" spans="2:14" ht="15" customHeight="1" x14ac:dyDescent="0.25">
      <c r="B579" s="6" t="s">
        <v>1383</v>
      </c>
      <c r="C579" s="7" t="s">
        <v>1384</v>
      </c>
      <c r="D579" s="6" t="s">
        <v>240</v>
      </c>
      <c r="E579" s="6" t="s">
        <v>240</v>
      </c>
      <c r="F579" s="8">
        <v>8.6999999999999993</v>
      </c>
      <c r="G579" s="9">
        <v>2</v>
      </c>
      <c r="H579" s="9">
        <v>24</v>
      </c>
      <c r="I579" s="10">
        <v>1</v>
      </c>
      <c r="J579" s="11" t="s">
        <v>241</v>
      </c>
      <c r="K579" s="11">
        <v>0.55820000000000003</v>
      </c>
      <c r="L579" s="11">
        <v>1.8462000000000001</v>
      </c>
      <c r="M579" s="11">
        <v>4.2506000000000004</v>
      </c>
      <c r="N579" s="11">
        <v>0.30599999999999999</v>
      </c>
    </row>
    <row r="580" spans="2:14" ht="15" customHeight="1" x14ac:dyDescent="0.25">
      <c r="B580" s="6" t="s">
        <v>1385</v>
      </c>
      <c r="C580" s="7" t="s">
        <v>1386</v>
      </c>
      <c r="D580" s="6" t="s">
        <v>240</v>
      </c>
      <c r="E580" s="6" t="s">
        <v>240</v>
      </c>
      <c r="F580" s="8">
        <v>1.4</v>
      </c>
      <c r="G580" s="9">
        <v>1</v>
      </c>
      <c r="H580" s="9">
        <v>4</v>
      </c>
      <c r="I580" s="10">
        <v>0.82</v>
      </c>
      <c r="J580" s="11" t="s">
        <v>241</v>
      </c>
      <c r="K580" s="11" t="s">
        <v>241</v>
      </c>
      <c r="L580" s="11" t="s">
        <v>241</v>
      </c>
      <c r="M580" s="11">
        <v>1.3895</v>
      </c>
      <c r="N580" s="11">
        <v>0.32829999999999998</v>
      </c>
    </row>
    <row r="581" spans="2:14" ht="15" customHeight="1" x14ac:dyDescent="0.25">
      <c r="B581" s="6" t="s">
        <v>1387</v>
      </c>
      <c r="C581" s="7" t="s">
        <v>1388</v>
      </c>
      <c r="D581" s="6" t="s">
        <v>240</v>
      </c>
      <c r="E581" s="6" t="s">
        <v>240</v>
      </c>
      <c r="F581" s="8">
        <v>1</v>
      </c>
      <c r="G581" s="9">
        <v>1</v>
      </c>
      <c r="H581" s="9">
        <v>1</v>
      </c>
      <c r="I581" s="10">
        <v>1</v>
      </c>
      <c r="J581" s="11" t="s">
        <v>241</v>
      </c>
      <c r="K581" s="11" t="s">
        <v>241</v>
      </c>
      <c r="L581" s="11" t="s">
        <v>241</v>
      </c>
      <c r="M581" s="11">
        <v>0.33979999999999999</v>
      </c>
      <c r="N581" s="11" t="s">
        <v>241</v>
      </c>
    </row>
    <row r="582" spans="2:14" ht="15" customHeight="1" x14ac:dyDescent="0.25">
      <c r="B582" s="6" t="s">
        <v>1389</v>
      </c>
      <c r="C582" s="7" t="s">
        <v>1390</v>
      </c>
      <c r="D582" s="6" t="s">
        <v>240</v>
      </c>
      <c r="E582" s="6" t="s">
        <v>240</v>
      </c>
      <c r="F582" s="8">
        <v>5.6</v>
      </c>
      <c r="G582" s="9">
        <v>2</v>
      </c>
      <c r="H582" s="9">
        <v>18</v>
      </c>
      <c r="I582" s="10">
        <v>1</v>
      </c>
      <c r="J582" s="11" t="s">
        <v>241</v>
      </c>
      <c r="K582" s="11">
        <v>0.20419999999999999</v>
      </c>
      <c r="L582" s="11">
        <v>0.82650000000000001</v>
      </c>
      <c r="M582" s="11">
        <v>1.8572</v>
      </c>
      <c r="N582" s="11">
        <v>0.20860000000000001</v>
      </c>
    </row>
    <row r="583" spans="2:14" ht="15" customHeight="1" x14ac:dyDescent="0.25">
      <c r="B583" s="6" t="s">
        <v>1391</v>
      </c>
      <c r="C583" s="7" t="s">
        <v>1392</v>
      </c>
      <c r="D583" s="6" t="s">
        <v>240</v>
      </c>
      <c r="E583" s="6" t="s">
        <v>240</v>
      </c>
      <c r="F583" s="8">
        <v>1.1000000000000001</v>
      </c>
      <c r="G583" s="9">
        <v>1</v>
      </c>
      <c r="H583" s="9">
        <v>4</v>
      </c>
      <c r="I583" s="10">
        <v>1</v>
      </c>
      <c r="J583" s="11" t="s">
        <v>241</v>
      </c>
      <c r="K583" s="11" t="s">
        <v>241</v>
      </c>
      <c r="L583" s="11" t="s">
        <v>241</v>
      </c>
      <c r="M583" s="11">
        <v>0.48930000000000001</v>
      </c>
      <c r="N583" s="11">
        <v>0.24779999999999999</v>
      </c>
    </row>
    <row r="584" spans="2:14" ht="15" customHeight="1" x14ac:dyDescent="0.25">
      <c r="B584" s="6" t="s">
        <v>1393</v>
      </c>
      <c r="C584" s="7" t="s">
        <v>1394</v>
      </c>
      <c r="D584" s="6" t="s">
        <v>240</v>
      </c>
      <c r="E584" s="6" t="s">
        <v>240</v>
      </c>
      <c r="F584" s="8">
        <v>4.3</v>
      </c>
      <c r="G584" s="9">
        <v>1</v>
      </c>
      <c r="H584" s="9">
        <v>11</v>
      </c>
      <c r="I584" s="10">
        <v>1</v>
      </c>
      <c r="J584" s="11" t="s">
        <v>241</v>
      </c>
      <c r="K584" s="11" t="s">
        <v>241</v>
      </c>
      <c r="L584" s="11" t="s">
        <v>241</v>
      </c>
      <c r="M584" s="11">
        <v>1.0515000000000001</v>
      </c>
      <c r="N584" s="11">
        <v>0.25900000000000001</v>
      </c>
    </row>
    <row r="585" spans="2:14" ht="15" customHeight="1" x14ac:dyDescent="0.25">
      <c r="B585" s="6" t="s">
        <v>1395</v>
      </c>
      <c r="C585" s="7" t="s">
        <v>1396</v>
      </c>
      <c r="D585" s="6" t="s">
        <v>240</v>
      </c>
      <c r="E585" s="6" t="s">
        <v>240</v>
      </c>
      <c r="F585" s="8">
        <v>1.2</v>
      </c>
      <c r="G585" s="9">
        <v>1</v>
      </c>
      <c r="H585" s="9">
        <v>4</v>
      </c>
      <c r="I585" s="10">
        <v>1</v>
      </c>
      <c r="J585" s="11" t="s">
        <v>241</v>
      </c>
      <c r="K585" s="11" t="s">
        <v>241</v>
      </c>
      <c r="L585" s="11" t="s">
        <v>241</v>
      </c>
      <c r="M585" s="11">
        <v>0.41020000000000001</v>
      </c>
      <c r="N585" s="11">
        <v>0.24990000000000001</v>
      </c>
    </row>
    <row r="586" spans="2:14" ht="15" customHeight="1" x14ac:dyDescent="0.25">
      <c r="B586" s="6" t="s">
        <v>1397</v>
      </c>
      <c r="C586" s="7" t="s">
        <v>1398</v>
      </c>
      <c r="D586" s="6" t="s">
        <v>290</v>
      </c>
      <c r="E586" s="6" t="s">
        <v>240</v>
      </c>
      <c r="F586" s="8">
        <v>6.1</v>
      </c>
      <c r="G586" s="9">
        <v>1</v>
      </c>
      <c r="H586" s="9">
        <v>17</v>
      </c>
      <c r="I586" s="10">
        <v>1</v>
      </c>
      <c r="J586" s="11">
        <v>0.25850000000000001</v>
      </c>
      <c r="K586" s="11" t="s">
        <v>241</v>
      </c>
      <c r="L586" s="11" t="s">
        <v>241</v>
      </c>
      <c r="M586" s="11">
        <v>1.3940999999999999</v>
      </c>
      <c r="N586" s="11">
        <v>0.2089</v>
      </c>
    </row>
    <row r="587" spans="2:14" ht="15" customHeight="1" x14ac:dyDescent="0.25">
      <c r="B587" s="6" t="s">
        <v>1399</v>
      </c>
      <c r="C587" s="7" t="s">
        <v>1400</v>
      </c>
      <c r="D587" s="6" t="s">
        <v>290</v>
      </c>
      <c r="E587" s="6" t="s">
        <v>240</v>
      </c>
      <c r="F587" s="8">
        <v>2.5</v>
      </c>
      <c r="G587" s="9">
        <v>1</v>
      </c>
      <c r="H587" s="9">
        <v>7</v>
      </c>
      <c r="I587" s="10">
        <v>1.22</v>
      </c>
      <c r="J587" s="11">
        <v>0.1399</v>
      </c>
      <c r="K587" s="11" t="s">
        <v>241</v>
      </c>
      <c r="L587" s="11" t="s">
        <v>241</v>
      </c>
      <c r="M587" s="11">
        <v>0.59419999999999995</v>
      </c>
      <c r="N587" s="11">
        <v>0.1951</v>
      </c>
    </row>
    <row r="588" spans="2:14" ht="15" customHeight="1" x14ac:dyDescent="0.25">
      <c r="B588" s="6" t="s">
        <v>1401</v>
      </c>
      <c r="C588" s="7" t="s">
        <v>1402</v>
      </c>
      <c r="D588" s="6" t="s">
        <v>240</v>
      </c>
      <c r="E588" s="6" t="s">
        <v>240</v>
      </c>
      <c r="F588" s="8">
        <v>1</v>
      </c>
      <c r="G588" s="9">
        <v>1</v>
      </c>
      <c r="H588" s="9">
        <v>3</v>
      </c>
      <c r="I588" s="10">
        <v>1</v>
      </c>
      <c r="J588" s="11" t="s">
        <v>241</v>
      </c>
      <c r="K588" s="11" t="s">
        <v>241</v>
      </c>
      <c r="L588" s="11" t="s">
        <v>241</v>
      </c>
      <c r="M588" s="11">
        <v>0.52239999999999998</v>
      </c>
      <c r="N588" s="11">
        <v>0.17929999999999999</v>
      </c>
    </row>
    <row r="589" spans="2:14" ht="15" customHeight="1" x14ac:dyDescent="0.25">
      <c r="B589" s="6" t="s">
        <v>1403</v>
      </c>
      <c r="C589" s="7" t="s">
        <v>1404</v>
      </c>
      <c r="D589" s="6" t="s">
        <v>240</v>
      </c>
      <c r="E589" s="6" t="s">
        <v>240</v>
      </c>
      <c r="F589" s="8">
        <v>2.2999999999999998</v>
      </c>
      <c r="G589" s="9">
        <v>1</v>
      </c>
      <c r="H589" s="9">
        <v>6</v>
      </c>
      <c r="I589" s="10">
        <v>1</v>
      </c>
      <c r="J589" s="11" t="s">
        <v>241</v>
      </c>
      <c r="K589" s="11" t="s">
        <v>241</v>
      </c>
      <c r="L589" s="11" t="s">
        <v>241</v>
      </c>
      <c r="M589" s="11">
        <v>0.67610000000000003</v>
      </c>
      <c r="N589" s="11">
        <v>0.221</v>
      </c>
    </row>
    <row r="590" spans="2:14" ht="15" customHeight="1" x14ac:dyDescent="0.25">
      <c r="B590" s="6" t="s">
        <v>1405</v>
      </c>
      <c r="C590" s="7" t="s">
        <v>1406</v>
      </c>
      <c r="D590" s="6" t="s">
        <v>240</v>
      </c>
      <c r="E590" s="6" t="s">
        <v>240</v>
      </c>
      <c r="F590" s="8">
        <v>1.1000000000000001</v>
      </c>
      <c r="G590" s="9">
        <v>1</v>
      </c>
      <c r="H590" s="9">
        <v>3</v>
      </c>
      <c r="I590" s="10">
        <v>1.18</v>
      </c>
      <c r="J590" s="11" t="s">
        <v>241</v>
      </c>
      <c r="K590" s="11" t="s">
        <v>241</v>
      </c>
      <c r="L590" s="11" t="s">
        <v>241</v>
      </c>
      <c r="M590" s="11">
        <v>0.29930000000000001</v>
      </c>
      <c r="N590" s="11">
        <v>0.17019999999999999</v>
      </c>
    </row>
    <row r="591" spans="2:14" ht="15" customHeight="1" x14ac:dyDescent="0.25">
      <c r="B591" s="6" t="s">
        <v>1407</v>
      </c>
      <c r="C591" s="7" t="s">
        <v>1408</v>
      </c>
      <c r="D591" s="6" t="s">
        <v>240</v>
      </c>
      <c r="E591" s="6" t="s">
        <v>240</v>
      </c>
      <c r="F591" s="8">
        <v>8.5</v>
      </c>
      <c r="G591" s="9">
        <v>2</v>
      </c>
      <c r="H591" s="9">
        <v>27</v>
      </c>
      <c r="I591" s="10">
        <v>1</v>
      </c>
      <c r="J591" s="11" t="s">
        <v>241</v>
      </c>
      <c r="K591" s="11">
        <v>1.5434000000000001</v>
      </c>
      <c r="L591" s="11">
        <v>2.0880000000000001</v>
      </c>
      <c r="M591" s="11">
        <v>5.7195</v>
      </c>
      <c r="N591" s="11">
        <v>0.44969999999999999</v>
      </c>
    </row>
    <row r="592" spans="2:14" ht="15" customHeight="1" x14ac:dyDescent="0.25">
      <c r="B592" s="6" t="s">
        <v>1409</v>
      </c>
      <c r="C592" s="7" t="s">
        <v>1410</v>
      </c>
      <c r="D592" s="6" t="s">
        <v>240</v>
      </c>
      <c r="E592" s="6" t="s">
        <v>240</v>
      </c>
      <c r="F592" s="8">
        <v>3.5</v>
      </c>
      <c r="G592" s="9">
        <v>1</v>
      </c>
      <c r="H592" s="9">
        <v>12</v>
      </c>
      <c r="I592" s="10">
        <v>1</v>
      </c>
      <c r="J592" s="11" t="s">
        <v>241</v>
      </c>
      <c r="K592" s="11" t="s">
        <v>241</v>
      </c>
      <c r="L592" s="11" t="s">
        <v>241</v>
      </c>
      <c r="M592" s="11">
        <v>3.3601000000000001</v>
      </c>
      <c r="N592" s="11">
        <v>0.40139999999999998</v>
      </c>
    </row>
    <row r="593" spans="2:14" ht="15" customHeight="1" x14ac:dyDescent="0.25">
      <c r="B593" s="6" t="s">
        <v>1411</v>
      </c>
      <c r="C593" s="7" t="s">
        <v>1412</v>
      </c>
      <c r="D593" s="6" t="s">
        <v>240</v>
      </c>
      <c r="E593" s="6" t="s">
        <v>240</v>
      </c>
      <c r="F593" s="8">
        <v>2</v>
      </c>
      <c r="G593" s="9">
        <v>1</v>
      </c>
      <c r="H593" s="9">
        <v>7</v>
      </c>
      <c r="I593" s="10">
        <v>1</v>
      </c>
      <c r="J593" s="11" t="s">
        <v>241</v>
      </c>
      <c r="K593" s="11" t="s">
        <v>241</v>
      </c>
      <c r="L593" s="11" t="s">
        <v>241</v>
      </c>
      <c r="M593" s="11">
        <v>2.3369</v>
      </c>
      <c r="N593" s="11">
        <v>0.54779999999999995</v>
      </c>
    </row>
    <row r="594" spans="2:14" ht="15" customHeight="1" x14ac:dyDescent="0.25">
      <c r="B594" s="6" t="s">
        <v>1413</v>
      </c>
      <c r="C594" s="7" t="s">
        <v>1414</v>
      </c>
      <c r="D594" s="6" t="s">
        <v>240</v>
      </c>
      <c r="E594" s="6" t="s">
        <v>240</v>
      </c>
      <c r="F594" s="8">
        <v>3.6</v>
      </c>
      <c r="G594" s="9">
        <v>1</v>
      </c>
      <c r="H594" s="9">
        <v>11</v>
      </c>
      <c r="I594" s="10">
        <v>1</v>
      </c>
      <c r="J594" s="11" t="s">
        <v>241</v>
      </c>
      <c r="K594" s="11" t="s">
        <v>241</v>
      </c>
      <c r="L594" s="11" t="s">
        <v>241</v>
      </c>
      <c r="M594" s="11">
        <v>2.7222</v>
      </c>
      <c r="N594" s="11">
        <v>0.35499999999999998</v>
      </c>
    </row>
    <row r="595" spans="2:14" ht="15" customHeight="1" x14ac:dyDescent="0.25">
      <c r="B595" s="6" t="s">
        <v>1415</v>
      </c>
      <c r="C595" s="7" t="s">
        <v>1416</v>
      </c>
      <c r="D595" s="6" t="s">
        <v>240</v>
      </c>
      <c r="E595" s="6" t="s">
        <v>240</v>
      </c>
      <c r="F595" s="8">
        <v>1.4</v>
      </c>
      <c r="G595" s="9">
        <v>1</v>
      </c>
      <c r="H595" s="9">
        <v>4</v>
      </c>
      <c r="I595" s="10">
        <v>1</v>
      </c>
      <c r="J595" s="11" t="s">
        <v>241</v>
      </c>
      <c r="K595" s="11" t="s">
        <v>241</v>
      </c>
      <c r="L595" s="11" t="s">
        <v>241</v>
      </c>
      <c r="M595" s="11">
        <v>1.5370999999999999</v>
      </c>
      <c r="N595" s="11">
        <v>0.48680000000000001</v>
      </c>
    </row>
    <row r="596" spans="2:14" ht="15" customHeight="1" x14ac:dyDescent="0.25">
      <c r="B596" s="6" t="s">
        <v>1417</v>
      </c>
      <c r="C596" s="7" t="s">
        <v>1418</v>
      </c>
      <c r="D596" s="6" t="s">
        <v>240</v>
      </c>
      <c r="E596" s="6" t="s">
        <v>240</v>
      </c>
      <c r="F596" s="8">
        <v>3.6</v>
      </c>
      <c r="G596" s="9">
        <v>1</v>
      </c>
      <c r="H596" s="9">
        <v>11</v>
      </c>
      <c r="I596" s="10">
        <v>1</v>
      </c>
      <c r="J596" s="11" t="s">
        <v>241</v>
      </c>
      <c r="K596" s="11" t="s">
        <v>241</v>
      </c>
      <c r="L596" s="11" t="s">
        <v>241</v>
      </c>
      <c r="M596" s="11">
        <v>2.6833999999999998</v>
      </c>
      <c r="N596" s="11">
        <v>0.35520000000000002</v>
      </c>
    </row>
    <row r="597" spans="2:14" ht="15" customHeight="1" x14ac:dyDescent="0.25">
      <c r="B597" s="6" t="s">
        <v>1419</v>
      </c>
      <c r="C597" s="7" t="s">
        <v>1420</v>
      </c>
      <c r="D597" s="6" t="s">
        <v>240</v>
      </c>
      <c r="E597" s="6" t="s">
        <v>240</v>
      </c>
      <c r="F597" s="8">
        <v>1.9</v>
      </c>
      <c r="G597" s="9">
        <v>1</v>
      </c>
      <c r="H597" s="9">
        <v>6</v>
      </c>
      <c r="I597" s="10">
        <v>1</v>
      </c>
      <c r="J597" s="11" t="s">
        <v>241</v>
      </c>
      <c r="K597" s="11" t="s">
        <v>241</v>
      </c>
      <c r="L597" s="11" t="s">
        <v>241</v>
      </c>
      <c r="M597" s="11">
        <v>1.675</v>
      </c>
      <c r="N597" s="11">
        <v>0.4773</v>
      </c>
    </row>
    <row r="598" spans="2:14" ht="15" customHeight="1" x14ac:dyDescent="0.25">
      <c r="B598" s="6" t="s">
        <v>1421</v>
      </c>
      <c r="C598" s="7" t="s">
        <v>1422</v>
      </c>
      <c r="D598" s="6" t="s">
        <v>240</v>
      </c>
      <c r="E598" s="6" t="s">
        <v>240</v>
      </c>
      <c r="F598" s="8">
        <v>1.4</v>
      </c>
      <c r="G598" s="9">
        <v>1</v>
      </c>
      <c r="H598" s="9">
        <v>4</v>
      </c>
      <c r="I598" s="10">
        <v>1.1599999999999999</v>
      </c>
      <c r="J598" s="11" t="s">
        <v>241</v>
      </c>
      <c r="K598" s="11" t="s">
        <v>241</v>
      </c>
      <c r="L598" s="11" t="s">
        <v>241</v>
      </c>
      <c r="M598" s="11">
        <v>1.3593</v>
      </c>
      <c r="N598" s="11">
        <v>0.42630000000000001</v>
      </c>
    </row>
    <row r="599" spans="2:14" ht="15" customHeight="1" x14ac:dyDescent="0.25">
      <c r="B599" s="6" t="s">
        <v>1423</v>
      </c>
      <c r="C599" s="7" t="s">
        <v>1424</v>
      </c>
      <c r="D599" s="6" t="s">
        <v>240</v>
      </c>
      <c r="E599" s="6" t="s">
        <v>240</v>
      </c>
      <c r="F599" s="8">
        <v>1</v>
      </c>
      <c r="G599" s="9">
        <v>1</v>
      </c>
      <c r="H599" s="9">
        <v>3</v>
      </c>
      <c r="I599" s="10">
        <v>1</v>
      </c>
      <c r="J599" s="11" t="s">
        <v>241</v>
      </c>
      <c r="K599" s="11" t="s">
        <v>241</v>
      </c>
      <c r="L599" s="11" t="s">
        <v>241</v>
      </c>
      <c r="M599" s="11">
        <v>0.64610000000000001</v>
      </c>
      <c r="N599" s="11">
        <v>0.22850000000000001</v>
      </c>
    </row>
    <row r="600" spans="2:14" ht="15" customHeight="1" x14ac:dyDescent="0.25">
      <c r="B600" s="6" t="s">
        <v>1425</v>
      </c>
      <c r="C600" s="7" t="s">
        <v>1426</v>
      </c>
      <c r="D600" s="6" t="s">
        <v>240</v>
      </c>
      <c r="E600" s="6" t="s">
        <v>240</v>
      </c>
      <c r="F600" s="8">
        <v>1.3</v>
      </c>
      <c r="G600" s="9">
        <v>1</v>
      </c>
      <c r="H600" s="9">
        <v>4</v>
      </c>
      <c r="I600" s="10">
        <v>1.19</v>
      </c>
      <c r="J600" s="11" t="s">
        <v>241</v>
      </c>
      <c r="K600" s="11" t="s">
        <v>241</v>
      </c>
      <c r="L600" s="11" t="s">
        <v>241</v>
      </c>
      <c r="M600" s="11">
        <v>1.0923</v>
      </c>
      <c r="N600" s="11">
        <v>0.36720000000000003</v>
      </c>
    </row>
    <row r="601" spans="2:14" ht="15" customHeight="1" x14ac:dyDescent="0.25">
      <c r="B601" s="6" t="s">
        <v>1427</v>
      </c>
      <c r="C601" s="7" t="s">
        <v>1428</v>
      </c>
      <c r="D601" s="6" t="s">
        <v>240</v>
      </c>
      <c r="E601" s="6" t="s">
        <v>240</v>
      </c>
      <c r="F601" s="8">
        <v>2.2000000000000002</v>
      </c>
      <c r="G601" s="9">
        <v>1</v>
      </c>
      <c r="H601" s="9">
        <v>7</v>
      </c>
      <c r="I601" s="10">
        <v>1.21</v>
      </c>
      <c r="J601" s="11" t="s">
        <v>241</v>
      </c>
      <c r="K601" s="11" t="s">
        <v>241</v>
      </c>
      <c r="L601" s="11" t="s">
        <v>241</v>
      </c>
      <c r="M601" s="11">
        <v>1.1423000000000001</v>
      </c>
      <c r="N601" s="11">
        <v>0.34589999999999999</v>
      </c>
    </row>
    <row r="602" spans="2:14" ht="15" customHeight="1" x14ac:dyDescent="0.25">
      <c r="B602" s="6" t="s">
        <v>1429</v>
      </c>
      <c r="C602" s="7" t="s">
        <v>1430</v>
      </c>
      <c r="D602" s="6" t="s">
        <v>240</v>
      </c>
      <c r="E602" s="6" t="s">
        <v>240</v>
      </c>
      <c r="F602" s="8">
        <v>1</v>
      </c>
      <c r="G602" s="9">
        <v>1</v>
      </c>
      <c r="H602" s="9">
        <v>3</v>
      </c>
      <c r="I602" s="10">
        <v>1.57</v>
      </c>
      <c r="J602" s="11" t="s">
        <v>241</v>
      </c>
      <c r="K602" s="11" t="s">
        <v>241</v>
      </c>
      <c r="L602" s="11" t="s">
        <v>241</v>
      </c>
      <c r="M602" s="11">
        <v>0.46579999999999999</v>
      </c>
      <c r="N602" s="11">
        <v>0.2147</v>
      </c>
    </row>
    <row r="603" spans="2:14" ht="15" customHeight="1" x14ac:dyDescent="0.25">
      <c r="B603" s="6" t="s">
        <v>1431</v>
      </c>
      <c r="C603" s="7" t="s">
        <v>1432</v>
      </c>
      <c r="D603" s="6" t="s">
        <v>240</v>
      </c>
      <c r="E603" s="6" t="s">
        <v>240</v>
      </c>
      <c r="F603" s="8">
        <v>1.1000000000000001</v>
      </c>
      <c r="G603" s="9">
        <v>1</v>
      </c>
      <c r="H603" s="9">
        <v>3</v>
      </c>
      <c r="I603" s="10">
        <v>1</v>
      </c>
      <c r="J603" s="11" t="s">
        <v>241</v>
      </c>
      <c r="K603" s="11" t="s">
        <v>241</v>
      </c>
      <c r="L603" s="11" t="s">
        <v>241</v>
      </c>
      <c r="M603" s="11">
        <v>0.51400000000000001</v>
      </c>
      <c r="N603" s="11">
        <v>0.2031</v>
      </c>
    </row>
    <row r="604" spans="2:14" ht="15" customHeight="1" x14ac:dyDescent="0.25">
      <c r="B604" s="6" t="s">
        <v>1433</v>
      </c>
      <c r="C604" s="7" t="s">
        <v>1434</v>
      </c>
      <c r="D604" s="6" t="s">
        <v>240</v>
      </c>
      <c r="E604" s="6" t="s">
        <v>240</v>
      </c>
      <c r="F604" s="8">
        <v>6.8</v>
      </c>
      <c r="G604" s="9">
        <v>1</v>
      </c>
      <c r="H604" s="9">
        <v>17</v>
      </c>
      <c r="I604" s="10">
        <v>1</v>
      </c>
      <c r="J604" s="11" t="s">
        <v>241</v>
      </c>
      <c r="K604" s="11" t="s">
        <v>241</v>
      </c>
      <c r="L604" s="11" t="s">
        <v>241</v>
      </c>
      <c r="M604" s="11">
        <v>2.6000999999999999</v>
      </c>
      <c r="N604" s="11">
        <v>0.29239999999999999</v>
      </c>
    </row>
    <row r="605" spans="2:14" ht="15" customHeight="1" x14ac:dyDescent="0.25">
      <c r="B605" s="6" t="s">
        <v>1435</v>
      </c>
      <c r="C605" s="7" t="s">
        <v>1436</v>
      </c>
      <c r="D605" s="6" t="s">
        <v>240</v>
      </c>
      <c r="E605" s="6" t="s">
        <v>240</v>
      </c>
      <c r="F605" s="8">
        <v>1</v>
      </c>
      <c r="G605" s="9">
        <v>1</v>
      </c>
      <c r="H605" s="9">
        <v>3</v>
      </c>
      <c r="I605" s="10">
        <v>1</v>
      </c>
      <c r="J605" s="11" t="s">
        <v>241</v>
      </c>
      <c r="K605" s="11" t="s">
        <v>241</v>
      </c>
      <c r="L605" s="11" t="s">
        <v>241</v>
      </c>
      <c r="M605" s="11">
        <v>0.14929999999999999</v>
      </c>
      <c r="N605" s="11">
        <v>0.1187</v>
      </c>
    </row>
    <row r="606" spans="2:14" ht="15" customHeight="1" x14ac:dyDescent="0.25">
      <c r="B606" s="6" t="s">
        <v>1437</v>
      </c>
      <c r="C606" s="7" t="s">
        <v>1438</v>
      </c>
      <c r="D606" s="6" t="s">
        <v>240</v>
      </c>
      <c r="E606" s="6" t="s">
        <v>240</v>
      </c>
      <c r="F606" s="8">
        <v>7.3</v>
      </c>
      <c r="G606" s="9">
        <v>2</v>
      </c>
      <c r="H606" s="9">
        <v>27</v>
      </c>
      <c r="I606" s="10">
        <v>1</v>
      </c>
      <c r="J606" s="11" t="s">
        <v>241</v>
      </c>
      <c r="K606" s="11">
        <v>1.5976999999999999</v>
      </c>
      <c r="L606" s="11">
        <v>1.8757999999999999</v>
      </c>
      <c r="M606" s="11">
        <v>5.3493000000000004</v>
      </c>
      <c r="N606" s="11">
        <v>0.41410000000000002</v>
      </c>
    </row>
    <row r="607" spans="2:14" ht="15" customHeight="1" x14ac:dyDescent="0.25">
      <c r="B607" s="6" t="s">
        <v>1439</v>
      </c>
      <c r="C607" s="7" t="s">
        <v>1440</v>
      </c>
      <c r="D607" s="6" t="s">
        <v>240</v>
      </c>
      <c r="E607" s="6" t="s">
        <v>240</v>
      </c>
      <c r="F607" s="8">
        <v>2.8</v>
      </c>
      <c r="G607" s="9">
        <v>1</v>
      </c>
      <c r="H607" s="9">
        <v>12</v>
      </c>
      <c r="I607" s="10">
        <v>1</v>
      </c>
      <c r="J607" s="11" t="s">
        <v>241</v>
      </c>
      <c r="K607" s="11" t="s">
        <v>241</v>
      </c>
      <c r="L607" s="11" t="s">
        <v>241</v>
      </c>
      <c r="M607" s="11">
        <v>3.01</v>
      </c>
      <c r="N607" s="11">
        <v>0.43130000000000002</v>
      </c>
    </row>
    <row r="608" spans="2:14" ht="15" customHeight="1" x14ac:dyDescent="0.25">
      <c r="B608" s="6" t="s">
        <v>1441</v>
      </c>
      <c r="C608" s="7" t="s">
        <v>1442</v>
      </c>
      <c r="D608" s="6" t="s">
        <v>240</v>
      </c>
      <c r="E608" s="6" t="s">
        <v>240</v>
      </c>
      <c r="F608" s="8">
        <v>1.8</v>
      </c>
      <c r="G608" s="9">
        <v>1</v>
      </c>
      <c r="H608" s="9">
        <v>5</v>
      </c>
      <c r="I608" s="10">
        <v>1</v>
      </c>
      <c r="J608" s="11" t="s">
        <v>241</v>
      </c>
      <c r="K608" s="11" t="s">
        <v>241</v>
      </c>
      <c r="L608" s="11" t="s">
        <v>241</v>
      </c>
      <c r="M608" s="11">
        <v>2.1511999999999998</v>
      </c>
      <c r="N608" s="11">
        <v>0.50770000000000004</v>
      </c>
    </row>
    <row r="609" spans="2:14" ht="15" customHeight="1" x14ac:dyDescent="0.25">
      <c r="B609" s="6" t="s">
        <v>1443</v>
      </c>
      <c r="C609" s="7" t="s">
        <v>1444</v>
      </c>
      <c r="D609" s="6" t="s">
        <v>240</v>
      </c>
      <c r="E609" s="6" t="s">
        <v>240</v>
      </c>
      <c r="F609" s="8">
        <v>9.9</v>
      </c>
      <c r="G609" s="9">
        <v>3</v>
      </c>
      <c r="H609" s="9">
        <v>30</v>
      </c>
      <c r="I609" s="10">
        <v>1</v>
      </c>
      <c r="J609" s="11" t="s">
        <v>241</v>
      </c>
      <c r="K609" s="11">
        <v>0</v>
      </c>
      <c r="L609" s="11">
        <v>1.0631999999999999</v>
      </c>
      <c r="M609" s="11">
        <v>3.1897000000000002</v>
      </c>
      <c r="N609" s="11">
        <v>0.2797</v>
      </c>
    </row>
    <row r="610" spans="2:14" ht="15" customHeight="1" x14ac:dyDescent="0.25">
      <c r="B610" s="6" t="s">
        <v>1445</v>
      </c>
      <c r="C610" s="7" t="s">
        <v>1446</v>
      </c>
      <c r="D610" s="6" t="s">
        <v>240</v>
      </c>
      <c r="E610" s="6" t="s">
        <v>240</v>
      </c>
      <c r="F610" s="8">
        <v>3</v>
      </c>
      <c r="G610" s="9">
        <v>1</v>
      </c>
      <c r="H610" s="9">
        <v>9</v>
      </c>
      <c r="I610" s="10">
        <v>2</v>
      </c>
      <c r="J610" s="11" t="s">
        <v>241</v>
      </c>
      <c r="K610" s="11" t="s">
        <v>241</v>
      </c>
      <c r="L610" s="11" t="s">
        <v>241</v>
      </c>
      <c r="M610" s="11">
        <v>0.86299999999999999</v>
      </c>
      <c r="N610" s="11">
        <v>0.26640000000000003</v>
      </c>
    </row>
    <row r="611" spans="2:14" ht="15" customHeight="1" x14ac:dyDescent="0.25">
      <c r="B611" s="6" t="s">
        <v>1447</v>
      </c>
      <c r="C611" s="7" t="s">
        <v>1448</v>
      </c>
      <c r="D611" s="6" t="s">
        <v>240</v>
      </c>
      <c r="E611" s="6" t="s">
        <v>240</v>
      </c>
      <c r="F611" s="8">
        <v>2.9</v>
      </c>
      <c r="G611" s="9">
        <v>1</v>
      </c>
      <c r="H611" s="9">
        <v>10</v>
      </c>
      <c r="I611" s="10">
        <v>1</v>
      </c>
      <c r="J611" s="11" t="s">
        <v>241</v>
      </c>
      <c r="K611" s="11" t="s">
        <v>241</v>
      </c>
      <c r="L611" s="11" t="s">
        <v>241</v>
      </c>
      <c r="M611" s="11">
        <v>0.81599999999999995</v>
      </c>
      <c r="N611" s="11">
        <v>0.26600000000000001</v>
      </c>
    </row>
    <row r="612" spans="2:14" ht="15" customHeight="1" x14ac:dyDescent="0.25">
      <c r="B612" s="6" t="s">
        <v>1449</v>
      </c>
      <c r="C612" s="7" t="s">
        <v>1450</v>
      </c>
      <c r="D612" s="6" t="s">
        <v>240</v>
      </c>
      <c r="E612" s="6" t="s">
        <v>240</v>
      </c>
      <c r="F612" s="8">
        <v>1.5</v>
      </c>
      <c r="G612" s="9">
        <v>1</v>
      </c>
      <c r="H612" s="9">
        <v>5</v>
      </c>
      <c r="I612" s="10">
        <v>1</v>
      </c>
      <c r="J612" s="11" t="s">
        <v>241</v>
      </c>
      <c r="K612" s="11" t="s">
        <v>241</v>
      </c>
      <c r="L612" s="11" t="s">
        <v>241</v>
      </c>
      <c r="M612" s="11">
        <v>0.38779999999999998</v>
      </c>
      <c r="N612" s="11">
        <v>0.28589999999999999</v>
      </c>
    </row>
    <row r="613" spans="2:14" ht="15" customHeight="1" x14ac:dyDescent="0.25">
      <c r="B613" s="6" t="s">
        <v>1451</v>
      </c>
      <c r="C613" s="7" t="s">
        <v>1452</v>
      </c>
      <c r="D613" s="6" t="s">
        <v>240</v>
      </c>
      <c r="E613" s="6" t="s">
        <v>240</v>
      </c>
      <c r="F613" s="8">
        <v>1.9</v>
      </c>
      <c r="G613" s="9">
        <v>1</v>
      </c>
      <c r="H613" s="9">
        <v>6</v>
      </c>
      <c r="I613" s="10">
        <v>1.4</v>
      </c>
      <c r="J613" s="11" t="s">
        <v>241</v>
      </c>
      <c r="K613" s="11" t="s">
        <v>241</v>
      </c>
      <c r="L613" s="11" t="s">
        <v>241</v>
      </c>
      <c r="M613" s="11">
        <v>0.50139999999999996</v>
      </c>
      <c r="N613" s="11">
        <v>0.26840000000000003</v>
      </c>
    </row>
    <row r="614" spans="2:14" ht="15" customHeight="1" x14ac:dyDescent="0.25">
      <c r="B614" s="6" t="s">
        <v>1453</v>
      </c>
      <c r="C614" s="7" t="s">
        <v>1454</v>
      </c>
      <c r="D614" s="6" t="s">
        <v>240</v>
      </c>
      <c r="E614" s="6" t="s">
        <v>240</v>
      </c>
      <c r="F614" s="8">
        <v>1.1000000000000001</v>
      </c>
      <c r="G614" s="9">
        <v>1</v>
      </c>
      <c r="H614" s="9">
        <v>3</v>
      </c>
      <c r="I614" s="10">
        <v>1.54</v>
      </c>
      <c r="J614" s="11" t="s">
        <v>241</v>
      </c>
      <c r="K614" s="11" t="s">
        <v>241</v>
      </c>
      <c r="L614" s="11" t="s">
        <v>241</v>
      </c>
      <c r="M614" s="11">
        <v>0.24410000000000001</v>
      </c>
      <c r="N614" s="11">
        <v>0.16539999999999999</v>
      </c>
    </row>
    <row r="615" spans="2:14" ht="15" customHeight="1" x14ac:dyDescent="0.25">
      <c r="B615" s="6" t="s">
        <v>1455</v>
      </c>
      <c r="C615" s="7" t="s">
        <v>1456</v>
      </c>
      <c r="D615" s="6" t="s">
        <v>240</v>
      </c>
      <c r="E615" s="6" t="s">
        <v>240</v>
      </c>
      <c r="F615" s="8">
        <v>6</v>
      </c>
      <c r="G615" s="9">
        <v>2</v>
      </c>
      <c r="H615" s="9">
        <v>20</v>
      </c>
      <c r="I615" s="10">
        <v>1</v>
      </c>
      <c r="J615" s="11" t="s">
        <v>241</v>
      </c>
      <c r="K615" s="11">
        <v>0.85260000000000002</v>
      </c>
      <c r="L615" s="11">
        <v>1.2201</v>
      </c>
      <c r="M615" s="11">
        <v>3.2928999999999999</v>
      </c>
      <c r="N615" s="11">
        <v>0.28610000000000002</v>
      </c>
    </row>
    <row r="616" spans="2:14" ht="15" customHeight="1" x14ac:dyDescent="0.25">
      <c r="B616" s="6" t="s">
        <v>1457</v>
      </c>
      <c r="C616" s="7" t="s">
        <v>1458</v>
      </c>
      <c r="D616" s="6" t="s">
        <v>240</v>
      </c>
      <c r="E616" s="6" t="s">
        <v>240</v>
      </c>
      <c r="F616" s="8">
        <v>3.7</v>
      </c>
      <c r="G616" s="9">
        <v>1</v>
      </c>
      <c r="H616" s="9">
        <v>13</v>
      </c>
      <c r="I616" s="10">
        <v>1</v>
      </c>
      <c r="J616" s="11" t="s">
        <v>241</v>
      </c>
      <c r="K616" s="11" t="s">
        <v>241</v>
      </c>
      <c r="L616" s="11" t="s">
        <v>241</v>
      </c>
      <c r="M616" s="11">
        <v>2.3923000000000001</v>
      </c>
      <c r="N616" s="11">
        <v>0.29099999999999998</v>
      </c>
    </row>
    <row r="617" spans="2:14" ht="15" customHeight="1" x14ac:dyDescent="0.25">
      <c r="B617" s="6" t="s">
        <v>1459</v>
      </c>
      <c r="C617" s="7" t="s">
        <v>1460</v>
      </c>
      <c r="D617" s="6" t="s">
        <v>240</v>
      </c>
      <c r="E617" s="6" t="s">
        <v>240</v>
      </c>
      <c r="F617" s="8">
        <v>2.5</v>
      </c>
      <c r="G617" s="9">
        <v>1</v>
      </c>
      <c r="H617" s="9">
        <v>9</v>
      </c>
      <c r="I617" s="10">
        <v>1</v>
      </c>
      <c r="J617" s="11" t="s">
        <v>241</v>
      </c>
      <c r="K617" s="11" t="s">
        <v>241</v>
      </c>
      <c r="L617" s="11" t="s">
        <v>241</v>
      </c>
      <c r="M617" s="11">
        <v>1.9267000000000001</v>
      </c>
      <c r="N617" s="11">
        <v>0.311</v>
      </c>
    </row>
    <row r="618" spans="2:14" ht="15" customHeight="1" x14ac:dyDescent="0.25">
      <c r="B618" s="6" t="s">
        <v>1461</v>
      </c>
      <c r="C618" s="7" t="s">
        <v>1462</v>
      </c>
      <c r="D618" s="6" t="s">
        <v>240</v>
      </c>
      <c r="E618" s="6" t="s">
        <v>240</v>
      </c>
      <c r="F618" s="8">
        <v>4.0999999999999996</v>
      </c>
      <c r="G618" s="9">
        <v>1</v>
      </c>
      <c r="H618" s="9">
        <v>12</v>
      </c>
      <c r="I618" s="10">
        <v>1</v>
      </c>
      <c r="J618" s="11" t="s">
        <v>241</v>
      </c>
      <c r="K618" s="11" t="s">
        <v>241</v>
      </c>
      <c r="L618" s="11" t="s">
        <v>241</v>
      </c>
      <c r="M618" s="11">
        <v>2.6920999999999999</v>
      </c>
      <c r="N618" s="11">
        <v>0.3891</v>
      </c>
    </row>
    <row r="619" spans="2:14" ht="15" customHeight="1" x14ac:dyDescent="0.25">
      <c r="B619" s="6" t="s">
        <v>1463</v>
      </c>
      <c r="C619" s="7" t="s">
        <v>1464</v>
      </c>
      <c r="D619" s="6" t="s">
        <v>240</v>
      </c>
      <c r="E619" s="6" t="s">
        <v>240</v>
      </c>
      <c r="F619" s="8">
        <v>2.6</v>
      </c>
      <c r="G619" s="9">
        <v>1</v>
      </c>
      <c r="H619" s="9">
        <v>9</v>
      </c>
      <c r="I619" s="10">
        <v>1</v>
      </c>
      <c r="J619" s="11" t="s">
        <v>241</v>
      </c>
      <c r="K619" s="11" t="s">
        <v>241</v>
      </c>
      <c r="L619" s="11" t="s">
        <v>241</v>
      </c>
      <c r="M619" s="11">
        <v>1.8243</v>
      </c>
      <c r="N619" s="11">
        <v>0.443</v>
      </c>
    </row>
    <row r="620" spans="2:14" ht="15" customHeight="1" x14ac:dyDescent="0.25">
      <c r="B620" s="6" t="s">
        <v>1465</v>
      </c>
      <c r="C620" s="7" t="s">
        <v>1466</v>
      </c>
      <c r="D620" s="6" t="s">
        <v>240</v>
      </c>
      <c r="E620" s="6" t="s">
        <v>240</v>
      </c>
      <c r="F620" s="8">
        <v>1.5</v>
      </c>
      <c r="G620" s="9">
        <v>1</v>
      </c>
      <c r="H620" s="9">
        <v>5</v>
      </c>
      <c r="I620" s="10">
        <v>1</v>
      </c>
      <c r="J620" s="11" t="s">
        <v>241</v>
      </c>
      <c r="K620" s="11" t="s">
        <v>241</v>
      </c>
      <c r="L620" s="11" t="s">
        <v>241</v>
      </c>
      <c r="M620" s="11">
        <v>1.1648000000000001</v>
      </c>
      <c r="N620" s="11">
        <v>0.4002</v>
      </c>
    </row>
    <row r="621" spans="2:14" ht="15" customHeight="1" x14ac:dyDescent="0.25">
      <c r="B621" s="6" t="s">
        <v>1467</v>
      </c>
      <c r="C621" s="7" t="s">
        <v>1468</v>
      </c>
      <c r="D621" s="6" t="s">
        <v>240</v>
      </c>
      <c r="E621" s="6" t="s">
        <v>240</v>
      </c>
      <c r="F621" s="8">
        <v>4.4000000000000004</v>
      </c>
      <c r="G621" s="9">
        <v>1</v>
      </c>
      <c r="H621" s="9">
        <v>14</v>
      </c>
      <c r="I621" s="10">
        <v>1</v>
      </c>
      <c r="J621" s="11" t="s">
        <v>241</v>
      </c>
      <c r="K621" s="11" t="s">
        <v>241</v>
      </c>
      <c r="L621" s="11" t="s">
        <v>241</v>
      </c>
      <c r="M621" s="11">
        <v>2.1993999999999998</v>
      </c>
      <c r="N621" s="11">
        <v>0.34310000000000002</v>
      </c>
    </row>
    <row r="622" spans="2:14" ht="15" customHeight="1" x14ac:dyDescent="0.25">
      <c r="B622" s="6" t="s">
        <v>1469</v>
      </c>
      <c r="C622" s="7" t="s">
        <v>1470</v>
      </c>
      <c r="D622" s="6" t="s">
        <v>240</v>
      </c>
      <c r="E622" s="6" t="s">
        <v>240</v>
      </c>
      <c r="F622" s="8">
        <v>1.5</v>
      </c>
      <c r="G622" s="9">
        <v>1</v>
      </c>
      <c r="H622" s="9">
        <v>5</v>
      </c>
      <c r="I622" s="10">
        <v>1</v>
      </c>
      <c r="J622" s="11" t="s">
        <v>241</v>
      </c>
      <c r="K622" s="11" t="s">
        <v>241</v>
      </c>
      <c r="L622" s="11" t="s">
        <v>241</v>
      </c>
      <c r="M622" s="11">
        <v>0.93089999999999995</v>
      </c>
      <c r="N622" s="11">
        <v>0.43369999999999997</v>
      </c>
    </row>
    <row r="623" spans="2:14" ht="15" customHeight="1" x14ac:dyDescent="0.25">
      <c r="B623" s="6" t="s">
        <v>1471</v>
      </c>
      <c r="C623" s="7" t="s">
        <v>1472</v>
      </c>
      <c r="D623" s="6" t="s">
        <v>240</v>
      </c>
      <c r="E623" s="6" t="s">
        <v>240</v>
      </c>
      <c r="F623" s="8">
        <v>1.1000000000000001</v>
      </c>
      <c r="G623" s="9">
        <v>1</v>
      </c>
      <c r="H623" s="9">
        <v>3</v>
      </c>
      <c r="I623" s="10">
        <v>1</v>
      </c>
      <c r="J623" s="11" t="s">
        <v>241</v>
      </c>
      <c r="K623" s="11" t="s">
        <v>241</v>
      </c>
      <c r="L623" s="11" t="s">
        <v>241</v>
      </c>
      <c r="M623" s="11">
        <v>0.58179999999999998</v>
      </c>
      <c r="N623" s="11">
        <v>0.25469999999999998</v>
      </c>
    </row>
    <row r="624" spans="2:14" ht="15" customHeight="1" x14ac:dyDescent="0.25">
      <c r="B624" s="6" t="s">
        <v>1473</v>
      </c>
      <c r="C624" s="7" t="s">
        <v>1474</v>
      </c>
      <c r="D624" s="6" t="s">
        <v>240</v>
      </c>
      <c r="E624" s="6" t="s">
        <v>240</v>
      </c>
      <c r="F624" s="8">
        <v>3.3</v>
      </c>
      <c r="G624" s="9">
        <v>1</v>
      </c>
      <c r="H624" s="9">
        <v>11</v>
      </c>
      <c r="I624" s="10">
        <v>1</v>
      </c>
      <c r="J624" s="11" t="s">
        <v>241</v>
      </c>
      <c r="K624" s="11" t="s">
        <v>241</v>
      </c>
      <c r="L624" s="11" t="s">
        <v>241</v>
      </c>
      <c r="M624" s="11">
        <v>1.7289000000000001</v>
      </c>
      <c r="N624" s="11">
        <v>0.33689999999999998</v>
      </c>
    </row>
    <row r="625" spans="2:14" ht="15" customHeight="1" x14ac:dyDescent="0.25">
      <c r="B625" s="6" t="s">
        <v>1475</v>
      </c>
      <c r="C625" s="7" t="s">
        <v>1476</v>
      </c>
      <c r="D625" s="6" t="s">
        <v>240</v>
      </c>
      <c r="E625" s="6" t="s">
        <v>240</v>
      </c>
      <c r="F625" s="8">
        <v>2.1</v>
      </c>
      <c r="G625" s="9">
        <v>1</v>
      </c>
      <c r="H625" s="9">
        <v>7</v>
      </c>
      <c r="I625" s="10">
        <v>1.1000000000000001</v>
      </c>
      <c r="J625" s="11" t="s">
        <v>241</v>
      </c>
      <c r="K625" s="11" t="s">
        <v>241</v>
      </c>
      <c r="L625" s="11" t="s">
        <v>241</v>
      </c>
      <c r="M625" s="11">
        <v>1.1835</v>
      </c>
      <c r="N625" s="11">
        <v>0.39839999999999998</v>
      </c>
    </row>
    <row r="626" spans="2:14" ht="15" customHeight="1" x14ac:dyDescent="0.25">
      <c r="B626" s="6" t="s">
        <v>1477</v>
      </c>
      <c r="C626" s="7" t="s">
        <v>1478</v>
      </c>
      <c r="D626" s="6" t="s">
        <v>240</v>
      </c>
      <c r="E626" s="6" t="s">
        <v>240</v>
      </c>
      <c r="F626" s="8">
        <v>1.5</v>
      </c>
      <c r="G626" s="9">
        <v>1</v>
      </c>
      <c r="H626" s="9">
        <v>5</v>
      </c>
      <c r="I626" s="10">
        <v>1</v>
      </c>
      <c r="J626" s="11" t="s">
        <v>241</v>
      </c>
      <c r="K626" s="11" t="s">
        <v>241</v>
      </c>
      <c r="L626" s="11" t="s">
        <v>241</v>
      </c>
      <c r="M626" s="11">
        <v>0.85319999999999996</v>
      </c>
      <c r="N626" s="11">
        <v>0.39839999999999998</v>
      </c>
    </row>
    <row r="627" spans="2:14" ht="15" customHeight="1" x14ac:dyDescent="0.25">
      <c r="B627" s="6" t="s">
        <v>1479</v>
      </c>
      <c r="C627" s="7" t="s">
        <v>1480</v>
      </c>
      <c r="D627" s="6" t="s">
        <v>240</v>
      </c>
      <c r="E627" s="6" t="s">
        <v>240</v>
      </c>
      <c r="F627" s="8">
        <v>3.1</v>
      </c>
      <c r="G627" s="9">
        <v>1</v>
      </c>
      <c r="H627" s="9">
        <v>10</v>
      </c>
      <c r="I627" s="10">
        <v>1</v>
      </c>
      <c r="J627" s="11" t="s">
        <v>241</v>
      </c>
      <c r="K627" s="11" t="s">
        <v>241</v>
      </c>
      <c r="L627" s="11" t="s">
        <v>241</v>
      </c>
      <c r="M627" s="11">
        <v>1.0523</v>
      </c>
      <c r="N627" s="11">
        <v>0.26629999999999998</v>
      </c>
    </row>
    <row r="628" spans="2:14" ht="15" customHeight="1" x14ac:dyDescent="0.25">
      <c r="B628" s="6" t="s">
        <v>1481</v>
      </c>
      <c r="C628" s="7" t="s">
        <v>1482</v>
      </c>
      <c r="D628" s="6" t="s">
        <v>240</v>
      </c>
      <c r="E628" s="6" t="s">
        <v>240</v>
      </c>
      <c r="F628" s="8">
        <v>1.7</v>
      </c>
      <c r="G628" s="9">
        <v>1</v>
      </c>
      <c r="H628" s="9">
        <v>5</v>
      </c>
      <c r="I628" s="10">
        <v>1</v>
      </c>
      <c r="J628" s="11" t="s">
        <v>241</v>
      </c>
      <c r="K628" s="11" t="s">
        <v>241</v>
      </c>
      <c r="L628" s="11" t="s">
        <v>241</v>
      </c>
      <c r="M628" s="11">
        <v>0.50270000000000004</v>
      </c>
      <c r="N628" s="11">
        <v>0.30159999999999998</v>
      </c>
    </row>
    <row r="629" spans="2:14" ht="15" customHeight="1" x14ac:dyDescent="0.25">
      <c r="B629" s="6" t="s">
        <v>1483</v>
      </c>
      <c r="C629" s="7" t="s">
        <v>1484</v>
      </c>
      <c r="D629" s="6" t="s">
        <v>240</v>
      </c>
      <c r="E629" s="6" t="s">
        <v>240</v>
      </c>
      <c r="F629" s="8">
        <v>1.4</v>
      </c>
      <c r="G629" s="9">
        <v>1</v>
      </c>
      <c r="H629" s="9">
        <v>4</v>
      </c>
      <c r="I629" s="10">
        <v>1</v>
      </c>
      <c r="J629" s="11" t="s">
        <v>241</v>
      </c>
      <c r="K629" s="11" t="s">
        <v>241</v>
      </c>
      <c r="L629" s="11" t="s">
        <v>241</v>
      </c>
      <c r="M629" s="11">
        <v>0.61980000000000002</v>
      </c>
      <c r="N629" s="11">
        <v>0.40200000000000002</v>
      </c>
    </row>
    <row r="630" spans="2:14" ht="15" customHeight="1" x14ac:dyDescent="0.25">
      <c r="B630" s="6" t="s">
        <v>1485</v>
      </c>
      <c r="C630" s="7" t="s">
        <v>1486</v>
      </c>
      <c r="D630" s="6" t="s">
        <v>240</v>
      </c>
      <c r="E630" s="6" t="s">
        <v>240</v>
      </c>
      <c r="F630" s="8">
        <v>1.1000000000000001</v>
      </c>
      <c r="G630" s="9">
        <v>1</v>
      </c>
      <c r="H630" s="9">
        <v>3</v>
      </c>
      <c r="I630" s="10">
        <v>1</v>
      </c>
      <c r="J630" s="11" t="s">
        <v>241</v>
      </c>
      <c r="K630" s="11" t="s">
        <v>241</v>
      </c>
      <c r="L630" s="11" t="s">
        <v>241</v>
      </c>
      <c r="M630" s="11">
        <v>0.2114</v>
      </c>
      <c r="N630" s="11">
        <v>0.15679999999999999</v>
      </c>
    </row>
    <row r="631" spans="2:14" ht="15" customHeight="1" x14ac:dyDescent="0.25">
      <c r="B631" s="6" t="s">
        <v>1487</v>
      </c>
      <c r="C631" s="7" t="s">
        <v>1488</v>
      </c>
      <c r="D631" s="6" t="s">
        <v>290</v>
      </c>
      <c r="E631" s="6" t="s">
        <v>240</v>
      </c>
      <c r="F631" s="8">
        <v>3</v>
      </c>
      <c r="G631" s="9">
        <v>1</v>
      </c>
      <c r="H631" s="9">
        <v>10</v>
      </c>
      <c r="I631" s="10">
        <v>1</v>
      </c>
      <c r="J631" s="11">
        <v>0.20039999999999999</v>
      </c>
      <c r="K631" s="11" t="s">
        <v>241</v>
      </c>
      <c r="L631" s="11" t="s">
        <v>241</v>
      </c>
      <c r="M631" s="11">
        <v>0.98499999999999999</v>
      </c>
      <c r="N631" s="11">
        <v>0.23300000000000001</v>
      </c>
    </row>
    <row r="632" spans="2:14" ht="15" customHeight="1" x14ac:dyDescent="0.25">
      <c r="B632" s="6" t="s">
        <v>1489</v>
      </c>
      <c r="C632" s="7" t="s">
        <v>1490</v>
      </c>
      <c r="D632" s="6" t="s">
        <v>240</v>
      </c>
      <c r="E632" s="6" t="s">
        <v>240</v>
      </c>
      <c r="F632" s="8">
        <v>1.3</v>
      </c>
      <c r="G632" s="9">
        <v>1</v>
      </c>
      <c r="H632" s="9">
        <v>4</v>
      </c>
      <c r="I632" s="10">
        <v>1.19</v>
      </c>
      <c r="J632" s="11" t="s">
        <v>241</v>
      </c>
      <c r="K632" s="11" t="s">
        <v>241</v>
      </c>
      <c r="L632" s="11" t="s">
        <v>241</v>
      </c>
      <c r="M632" s="11">
        <v>0.32640000000000002</v>
      </c>
      <c r="N632" s="11">
        <v>0.22950000000000001</v>
      </c>
    </row>
    <row r="633" spans="2:14" ht="15" customHeight="1" x14ac:dyDescent="0.25">
      <c r="B633" s="6" t="s">
        <v>1491</v>
      </c>
      <c r="C633" s="7" t="s">
        <v>1492</v>
      </c>
      <c r="D633" s="6" t="s">
        <v>240</v>
      </c>
      <c r="E633" s="6" t="s">
        <v>240</v>
      </c>
      <c r="F633" s="8">
        <v>1.1000000000000001</v>
      </c>
      <c r="G633" s="9">
        <v>1</v>
      </c>
      <c r="H633" s="9">
        <v>3</v>
      </c>
      <c r="I633" s="10">
        <v>1.58</v>
      </c>
      <c r="J633" s="11" t="s">
        <v>241</v>
      </c>
      <c r="K633" s="11" t="s">
        <v>241</v>
      </c>
      <c r="L633" s="11" t="s">
        <v>241</v>
      </c>
      <c r="M633" s="11">
        <v>0.1764</v>
      </c>
      <c r="N633" s="11">
        <v>0.13569999999999999</v>
      </c>
    </row>
    <row r="634" spans="2:14" ht="15" customHeight="1" x14ac:dyDescent="0.25">
      <c r="B634" s="6" t="s">
        <v>1493</v>
      </c>
      <c r="C634" s="7" t="s">
        <v>1494</v>
      </c>
      <c r="D634" s="6" t="s">
        <v>240</v>
      </c>
      <c r="E634" s="6" t="s">
        <v>290</v>
      </c>
      <c r="F634" s="8">
        <v>1.6</v>
      </c>
      <c r="G634" s="9">
        <v>1</v>
      </c>
      <c r="H634" s="9">
        <v>4</v>
      </c>
      <c r="I634" s="10">
        <v>1</v>
      </c>
      <c r="J634" s="11" t="s">
        <v>241</v>
      </c>
      <c r="K634" s="11" t="s">
        <v>241</v>
      </c>
      <c r="L634" s="11" t="s">
        <v>241</v>
      </c>
      <c r="M634" s="11">
        <v>2.0165000000000002</v>
      </c>
      <c r="N634" s="11" t="s">
        <v>241</v>
      </c>
    </row>
    <row r="635" spans="2:14" ht="15" customHeight="1" x14ac:dyDescent="0.25">
      <c r="B635" s="6" t="s">
        <v>1495</v>
      </c>
      <c r="C635" s="7" t="s">
        <v>1496</v>
      </c>
      <c r="D635" s="6" t="s">
        <v>240</v>
      </c>
      <c r="E635" s="6" t="s">
        <v>290</v>
      </c>
      <c r="F635" s="8">
        <v>38</v>
      </c>
      <c r="G635" s="9">
        <v>11</v>
      </c>
      <c r="H635" s="9">
        <v>102</v>
      </c>
      <c r="I635" s="10">
        <v>1</v>
      </c>
      <c r="J635" s="11" t="s">
        <v>241</v>
      </c>
      <c r="K635" s="11">
        <v>2.4510000000000001</v>
      </c>
      <c r="L635" s="11">
        <v>2.9561999999999999</v>
      </c>
      <c r="M635" s="11">
        <v>34.968699999999998</v>
      </c>
      <c r="N635" s="11">
        <v>0.75160000000000005</v>
      </c>
    </row>
    <row r="636" spans="2:14" ht="15" customHeight="1" x14ac:dyDescent="0.25">
      <c r="B636" s="6" t="s">
        <v>1497</v>
      </c>
      <c r="C636" s="7" t="s">
        <v>1498</v>
      </c>
      <c r="D636" s="6" t="s">
        <v>240</v>
      </c>
      <c r="E636" s="6" t="s">
        <v>290</v>
      </c>
      <c r="F636" s="8">
        <v>64.8</v>
      </c>
      <c r="G636" s="9">
        <v>44</v>
      </c>
      <c r="H636" s="9">
        <v>101</v>
      </c>
      <c r="I636" s="10">
        <v>1</v>
      </c>
      <c r="J636" s="11" t="s">
        <v>241</v>
      </c>
      <c r="K636" s="11">
        <v>7.7200000000000005E-2</v>
      </c>
      <c r="L636" s="11">
        <v>0.68589999999999995</v>
      </c>
      <c r="M636" s="11">
        <v>30.255700000000001</v>
      </c>
      <c r="N636" s="11">
        <v>0.4158</v>
      </c>
    </row>
    <row r="637" spans="2:14" ht="15" customHeight="1" x14ac:dyDescent="0.25">
      <c r="B637" s="6" t="s">
        <v>1499</v>
      </c>
      <c r="C637" s="7" t="s">
        <v>1500</v>
      </c>
      <c r="D637" s="6" t="s">
        <v>240</v>
      </c>
      <c r="E637" s="6" t="s">
        <v>290</v>
      </c>
      <c r="F637" s="8">
        <v>38.200000000000003</v>
      </c>
      <c r="G637" s="9">
        <v>13</v>
      </c>
      <c r="H637" s="9">
        <v>119</v>
      </c>
      <c r="I637" s="10">
        <v>1</v>
      </c>
      <c r="J637" s="11" t="s">
        <v>241</v>
      </c>
      <c r="K637" s="11">
        <v>0.1653</v>
      </c>
      <c r="L637" s="11">
        <v>1.2594000000000001</v>
      </c>
      <c r="M637" s="11">
        <v>16.537400000000002</v>
      </c>
      <c r="N637" s="11">
        <v>0.36420000000000002</v>
      </c>
    </row>
    <row r="638" spans="2:14" ht="15" customHeight="1" x14ac:dyDescent="0.25">
      <c r="B638" s="6" t="s">
        <v>1501</v>
      </c>
      <c r="C638" s="7" t="s">
        <v>1502</v>
      </c>
      <c r="D638" s="6" t="s">
        <v>240</v>
      </c>
      <c r="E638" s="6" t="s">
        <v>290</v>
      </c>
      <c r="F638" s="8">
        <v>45.4</v>
      </c>
      <c r="G638" s="9">
        <v>32</v>
      </c>
      <c r="H638" s="9">
        <v>74</v>
      </c>
      <c r="I638" s="10">
        <v>1</v>
      </c>
      <c r="J638" s="11" t="s">
        <v>241</v>
      </c>
      <c r="K638" s="11">
        <v>0.1411</v>
      </c>
      <c r="L638" s="11">
        <v>0.66869999999999996</v>
      </c>
      <c r="M638" s="11">
        <v>21.540299999999998</v>
      </c>
      <c r="N638" s="11">
        <v>0.40629999999999999</v>
      </c>
    </row>
    <row r="639" spans="2:14" ht="15" customHeight="1" x14ac:dyDescent="0.25">
      <c r="B639" s="6" t="s">
        <v>1503</v>
      </c>
      <c r="C639" s="7" t="s">
        <v>1504</v>
      </c>
      <c r="D639" s="6" t="s">
        <v>240</v>
      </c>
      <c r="E639" s="6" t="s">
        <v>290</v>
      </c>
      <c r="F639" s="8">
        <v>25.4</v>
      </c>
      <c r="G639" s="9">
        <v>8</v>
      </c>
      <c r="H639" s="9">
        <v>80</v>
      </c>
      <c r="I639" s="10">
        <v>1</v>
      </c>
      <c r="J639" s="11" t="s">
        <v>241</v>
      </c>
      <c r="K639" s="11">
        <v>5.57E-2</v>
      </c>
      <c r="L639" s="11">
        <v>1.2094</v>
      </c>
      <c r="M639" s="11">
        <v>9.7311999999999994</v>
      </c>
      <c r="N639" s="11">
        <v>0.30370000000000003</v>
      </c>
    </row>
    <row r="640" spans="2:14" ht="15" customHeight="1" x14ac:dyDescent="0.25">
      <c r="B640" s="6" t="s">
        <v>1505</v>
      </c>
      <c r="C640" s="7" t="s">
        <v>1506</v>
      </c>
      <c r="D640" s="6" t="s">
        <v>240</v>
      </c>
      <c r="E640" s="6" t="s">
        <v>290</v>
      </c>
      <c r="F640" s="8">
        <v>52</v>
      </c>
      <c r="G640" s="9">
        <v>29</v>
      </c>
      <c r="H640" s="9">
        <v>67</v>
      </c>
      <c r="I640" s="10">
        <v>1</v>
      </c>
      <c r="J640" s="11" t="s">
        <v>241</v>
      </c>
      <c r="K640" s="11">
        <v>0.51139999999999997</v>
      </c>
      <c r="L640" s="11">
        <v>0.92220000000000002</v>
      </c>
      <c r="M640" s="11">
        <v>27.255600000000001</v>
      </c>
      <c r="N640" s="11">
        <v>0.48</v>
      </c>
    </row>
    <row r="641" spans="2:14" ht="15" customHeight="1" x14ac:dyDescent="0.25">
      <c r="B641" s="6" t="s">
        <v>1507</v>
      </c>
      <c r="C641" s="7" t="s">
        <v>1508</v>
      </c>
      <c r="D641" s="6" t="s">
        <v>240</v>
      </c>
      <c r="E641" s="6" t="s">
        <v>290</v>
      </c>
      <c r="F641" s="8">
        <v>22.3</v>
      </c>
      <c r="G641" s="9">
        <v>14</v>
      </c>
      <c r="H641" s="9">
        <v>32</v>
      </c>
      <c r="I641" s="10">
        <v>1</v>
      </c>
      <c r="J641" s="11" t="s">
        <v>241</v>
      </c>
      <c r="K641" s="11">
        <v>0.1658</v>
      </c>
      <c r="L641" s="11">
        <v>0.69620000000000004</v>
      </c>
      <c r="M641" s="11">
        <v>9.9121000000000006</v>
      </c>
      <c r="N641" s="11">
        <v>0.34210000000000002</v>
      </c>
    </row>
    <row r="642" spans="2:14" ht="15" customHeight="1" x14ac:dyDescent="0.25">
      <c r="B642" s="6" t="s">
        <v>1509</v>
      </c>
      <c r="C642" s="7" t="s">
        <v>1510</v>
      </c>
      <c r="D642" s="6" t="s">
        <v>240</v>
      </c>
      <c r="E642" s="6" t="s">
        <v>290</v>
      </c>
      <c r="F642" s="8">
        <v>39.200000000000003</v>
      </c>
      <c r="G642" s="9">
        <v>24</v>
      </c>
      <c r="H642" s="9">
        <v>61</v>
      </c>
      <c r="I642" s="10">
        <v>1</v>
      </c>
      <c r="J642" s="11" t="s">
        <v>241</v>
      </c>
      <c r="K642" s="11">
        <v>0.70879999999999999</v>
      </c>
      <c r="L642" s="11">
        <v>0.96309999999999996</v>
      </c>
      <c r="M642" s="11">
        <v>23.822399999999998</v>
      </c>
      <c r="N642" s="11">
        <v>0.49009999999999998</v>
      </c>
    </row>
    <row r="643" spans="2:14" ht="15" customHeight="1" x14ac:dyDescent="0.25">
      <c r="B643" s="6" t="s">
        <v>1511</v>
      </c>
      <c r="C643" s="7" t="s">
        <v>1512</v>
      </c>
      <c r="D643" s="6" t="s">
        <v>240</v>
      </c>
      <c r="E643" s="6" t="s">
        <v>290</v>
      </c>
      <c r="F643" s="8">
        <v>13.4</v>
      </c>
      <c r="G643" s="9">
        <v>8</v>
      </c>
      <c r="H643" s="9">
        <v>20</v>
      </c>
      <c r="I643" s="10">
        <v>1</v>
      </c>
      <c r="J643" s="11" t="s">
        <v>241</v>
      </c>
      <c r="K643" s="11">
        <v>0.29199999999999998</v>
      </c>
      <c r="L643" s="11">
        <v>0.81</v>
      </c>
      <c r="M643" s="11">
        <v>6.7723000000000004</v>
      </c>
      <c r="N643" s="11">
        <v>0.36459999999999998</v>
      </c>
    </row>
    <row r="644" spans="2:14" ht="15" customHeight="1" x14ac:dyDescent="0.25">
      <c r="B644" s="6" t="s">
        <v>1513</v>
      </c>
      <c r="C644" s="7" t="s">
        <v>1514</v>
      </c>
      <c r="D644" s="6" t="s">
        <v>240</v>
      </c>
      <c r="E644" s="6" t="s">
        <v>290</v>
      </c>
      <c r="F644" s="8">
        <v>115</v>
      </c>
      <c r="G644" s="9">
        <v>39</v>
      </c>
      <c r="H644" s="9">
        <v>358</v>
      </c>
      <c r="I644" s="10">
        <v>1</v>
      </c>
      <c r="J644" s="11" t="s">
        <v>241</v>
      </c>
      <c r="K644" s="11">
        <v>0.91169999999999995</v>
      </c>
      <c r="L644" s="11">
        <v>1.7693000000000001</v>
      </c>
      <c r="M644" s="11">
        <v>69.912499999999994</v>
      </c>
      <c r="N644" s="11">
        <v>0.52449999999999997</v>
      </c>
    </row>
    <row r="645" spans="2:14" ht="15" customHeight="1" x14ac:dyDescent="0.25">
      <c r="B645" s="6" t="s">
        <v>1515</v>
      </c>
      <c r="C645" s="7" t="s">
        <v>1516</v>
      </c>
      <c r="D645" s="6" t="s">
        <v>240</v>
      </c>
      <c r="E645" s="6" t="s">
        <v>290</v>
      </c>
      <c r="F645" s="8">
        <v>75.5</v>
      </c>
      <c r="G645" s="9">
        <v>32</v>
      </c>
      <c r="H645" s="9">
        <v>297</v>
      </c>
      <c r="I645" s="10">
        <v>1</v>
      </c>
      <c r="J645" s="11" t="s">
        <v>241</v>
      </c>
      <c r="K645" s="11">
        <v>0.65069999999999995</v>
      </c>
      <c r="L645" s="11">
        <v>1.4790000000000001</v>
      </c>
      <c r="M645" s="11">
        <v>47.978900000000003</v>
      </c>
      <c r="N645" s="11">
        <v>0.44929999999999998</v>
      </c>
    </row>
    <row r="646" spans="2:14" ht="15" customHeight="1" x14ac:dyDescent="0.25">
      <c r="B646" s="6" t="s">
        <v>1517</v>
      </c>
      <c r="C646" s="7" t="s">
        <v>1518</v>
      </c>
      <c r="D646" s="6" t="s">
        <v>290</v>
      </c>
      <c r="E646" s="6" t="s">
        <v>290</v>
      </c>
      <c r="F646" s="8">
        <v>2.6</v>
      </c>
      <c r="G646" s="9">
        <v>1</v>
      </c>
      <c r="H646" s="9">
        <v>4</v>
      </c>
      <c r="I646" s="10">
        <v>1</v>
      </c>
      <c r="J646" s="11">
        <v>0.49230000000000002</v>
      </c>
      <c r="K646" s="11" t="s">
        <v>241</v>
      </c>
      <c r="L646" s="11" t="s">
        <v>241</v>
      </c>
      <c r="M646" s="11">
        <v>1.6021000000000001</v>
      </c>
      <c r="N646" s="11" t="s">
        <v>241</v>
      </c>
    </row>
    <row r="647" spans="2:14" ht="15" customHeight="1" x14ac:dyDescent="0.25">
      <c r="B647" s="6" t="s">
        <v>1519</v>
      </c>
      <c r="C647" s="7" t="s">
        <v>1520</v>
      </c>
      <c r="D647" s="6" t="s">
        <v>240</v>
      </c>
      <c r="E647" s="6" t="s">
        <v>290</v>
      </c>
      <c r="F647" s="8">
        <v>1.5</v>
      </c>
      <c r="G647" s="9">
        <v>1</v>
      </c>
      <c r="H647" s="9">
        <v>4</v>
      </c>
      <c r="I647" s="10">
        <v>1</v>
      </c>
      <c r="J647" s="11" t="s">
        <v>241</v>
      </c>
      <c r="K647" s="11" t="s">
        <v>241</v>
      </c>
      <c r="L647" s="11" t="s">
        <v>241</v>
      </c>
      <c r="M647" s="11">
        <v>0.79369999999999996</v>
      </c>
      <c r="N647" s="11" t="s">
        <v>241</v>
      </c>
    </row>
    <row r="648" spans="2:14" ht="15" customHeight="1" x14ac:dyDescent="0.25">
      <c r="B648" s="6" t="s">
        <v>1521</v>
      </c>
      <c r="C648" s="7" t="s">
        <v>1522</v>
      </c>
      <c r="D648" s="6" t="s">
        <v>240</v>
      </c>
      <c r="E648" s="6" t="s">
        <v>290</v>
      </c>
      <c r="F648" s="8">
        <v>76.3</v>
      </c>
      <c r="G648" s="9">
        <v>27</v>
      </c>
      <c r="H648" s="9">
        <v>249</v>
      </c>
      <c r="I648" s="10">
        <v>1</v>
      </c>
      <c r="J648" s="11" t="s">
        <v>241</v>
      </c>
      <c r="K648" s="11">
        <v>0</v>
      </c>
      <c r="L648" s="11">
        <v>1.7498</v>
      </c>
      <c r="M648" s="11">
        <v>47.244199999999999</v>
      </c>
      <c r="N648" s="11">
        <v>0.39760000000000001</v>
      </c>
    </row>
    <row r="649" spans="2:14" ht="15" customHeight="1" x14ac:dyDescent="0.25">
      <c r="B649" s="6" t="s">
        <v>1523</v>
      </c>
      <c r="C649" s="7" t="s">
        <v>1524</v>
      </c>
      <c r="D649" s="6" t="s">
        <v>240</v>
      </c>
      <c r="E649" s="6" t="s">
        <v>290</v>
      </c>
      <c r="F649" s="8">
        <v>96.4</v>
      </c>
      <c r="G649" s="9">
        <v>27</v>
      </c>
      <c r="H649" s="9">
        <v>244</v>
      </c>
      <c r="I649" s="10">
        <v>1</v>
      </c>
      <c r="J649" s="11" t="s">
        <v>241</v>
      </c>
      <c r="K649" s="11">
        <v>0</v>
      </c>
      <c r="L649" s="11">
        <v>1.7032</v>
      </c>
      <c r="M649" s="11">
        <v>45.986199999999997</v>
      </c>
      <c r="N649" s="11">
        <v>0.3891</v>
      </c>
    </row>
    <row r="650" spans="2:14" ht="15" customHeight="1" x14ac:dyDescent="0.25">
      <c r="B650" s="6" t="s">
        <v>1525</v>
      </c>
      <c r="C650" s="7" t="s">
        <v>1526</v>
      </c>
      <c r="D650" s="6" t="s">
        <v>240</v>
      </c>
      <c r="E650" s="6" t="s">
        <v>290</v>
      </c>
      <c r="F650" s="8">
        <v>61.7</v>
      </c>
      <c r="G650" s="9">
        <v>17</v>
      </c>
      <c r="H650" s="9">
        <v>157</v>
      </c>
      <c r="I650" s="10">
        <v>1</v>
      </c>
      <c r="J650" s="11" t="s">
        <v>241</v>
      </c>
      <c r="K650" s="11">
        <v>0</v>
      </c>
      <c r="L650" s="11">
        <v>1.7464</v>
      </c>
      <c r="M650" s="11">
        <v>29.688199999999998</v>
      </c>
      <c r="N650" s="11">
        <v>0.39460000000000001</v>
      </c>
    </row>
    <row r="651" spans="2:14" ht="15" customHeight="1" x14ac:dyDescent="0.25">
      <c r="B651" s="6" t="s">
        <v>1527</v>
      </c>
      <c r="C651" s="7" t="s">
        <v>1528</v>
      </c>
      <c r="D651" s="6" t="s">
        <v>240</v>
      </c>
      <c r="E651" s="6" t="s">
        <v>290</v>
      </c>
      <c r="F651" s="8">
        <v>35.299999999999997</v>
      </c>
      <c r="G651" s="9">
        <v>11</v>
      </c>
      <c r="H651" s="9">
        <v>105</v>
      </c>
      <c r="I651" s="10">
        <v>1</v>
      </c>
      <c r="J651" s="11" t="s">
        <v>241</v>
      </c>
      <c r="K651" s="11">
        <v>0</v>
      </c>
      <c r="L651" s="11">
        <v>1.0831999999999999</v>
      </c>
      <c r="M651" s="11">
        <v>11.9154</v>
      </c>
      <c r="N651" s="11">
        <v>0.28460000000000002</v>
      </c>
    </row>
    <row r="652" spans="2:14" ht="15" customHeight="1" x14ac:dyDescent="0.25">
      <c r="B652" s="6" t="s">
        <v>1529</v>
      </c>
      <c r="C652" s="7" t="s">
        <v>1530</v>
      </c>
      <c r="D652" s="6" t="s">
        <v>240</v>
      </c>
      <c r="E652" s="6" t="s">
        <v>290</v>
      </c>
      <c r="F652" s="8">
        <v>9.6999999999999993</v>
      </c>
      <c r="G652" s="9">
        <v>3</v>
      </c>
      <c r="H652" s="9">
        <v>36</v>
      </c>
      <c r="I652" s="10">
        <v>1</v>
      </c>
      <c r="J652" s="11" t="s">
        <v>241</v>
      </c>
      <c r="K652" s="11">
        <v>0</v>
      </c>
      <c r="L652" s="11">
        <v>1.5679000000000001</v>
      </c>
      <c r="M652" s="11">
        <v>4.7035999999999998</v>
      </c>
      <c r="N652" s="11">
        <v>0.2581</v>
      </c>
    </row>
    <row r="653" spans="2:14" ht="15" customHeight="1" x14ac:dyDescent="0.25">
      <c r="B653" s="6" t="s">
        <v>1531</v>
      </c>
      <c r="C653" s="7" t="s">
        <v>1532</v>
      </c>
      <c r="D653" s="6" t="s">
        <v>240</v>
      </c>
      <c r="E653" s="6" t="s">
        <v>290</v>
      </c>
      <c r="F653" s="8">
        <v>29.6</v>
      </c>
      <c r="G653" s="9">
        <v>10</v>
      </c>
      <c r="H653" s="9">
        <v>94</v>
      </c>
      <c r="I653" s="10">
        <v>1</v>
      </c>
      <c r="J653" s="11" t="s">
        <v>241</v>
      </c>
      <c r="K653" s="11">
        <v>0</v>
      </c>
      <c r="L653" s="11">
        <v>0.99550000000000005</v>
      </c>
      <c r="M653" s="11">
        <v>9.9548000000000005</v>
      </c>
      <c r="N653" s="11">
        <v>0.28720000000000001</v>
      </c>
    </row>
    <row r="654" spans="2:14" ht="15" customHeight="1" x14ac:dyDescent="0.25">
      <c r="B654" s="6" t="s">
        <v>1533</v>
      </c>
      <c r="C654" s="7" t="s">
        <v>1534</v>
      </c>
      <c r="D654" s="6" t="s">
        <v>240</v>
      </c>
      <c r="E654" s="6" t="s">
        <v>290</v>
      </c>
      <c r="F654" s="8">
        <v>22.2</v>
      </c>
      <c r="G654" s="9">
        <v>6</v>
      </c>
      <c r="H654" s="9">
        <v>59</v>
      </c>
      <c r="I654" s="10">
        <v>1</v>
      </c>
      <c r="J654" s="11" t="s">
        <v>241</v>
      </c>
      <c r="K654" s="11">
        <v>0</v>
      </c>
      <c r="L654" s="11">
        <v>1.1998</v>
      </c>
      <c r="M654" s="11">
        <v>7.1989000000000001</v>
      </c>
      <c r="N654" s="11">
        <v>0.2611</v>
      </c>
    </row>
    <row r="655" spans="2:14" ht="15" customHeight="1" x14ac:dyDescent="0.25">
      <c r="B655" s="6" t="s">
        <v>1535</v>
      </c>
      <c r="C655" s="7" t="s">
        <v>1536</v>
      </c>
      <c r="D655" s="6" t="s">
        <v>240</v>
      </c>
      <c r="E655" s="6" t="s">
        <v>290</v>
      </c>
      <c r="F655" s="8">
        <v>30.1</v>
      </c>
      <c r="G655" s="9">
        <v>9</v>
      </c>
      <c r="H655" s="9">
        <v>85</v>
      </c>
      <c r="I655" s="10">
        <v>1</v>
      </c>
      <c r="J655" s="11" t="s">
        <v>241</v>
      </c>
      <c r="K655" s="11">
        <v>0</v>
      </c>
      <c r="L655" s="11">
        <v>1.1092</v>
      </c>
      <c r="M655" s="11">
        <v>9.9824999999999999</v>
      </c>
      <c r="N655" s="11">
        <v>0.25590000000000002</v>
      </c>
    </row>
    <row r="656" spans="2:14" ht="15" customHeight="1" x14ac:dyDescent="0.25">
      <c r="B656" s="6" t="s">
        <v>1537</v>
      </c>
      <c r="C656" s="7" t="s">
        <v>1538</v>
      </c>
      <c r="D656" s="6" t="s">
        <v>240</v>
      </c>
      <c r="E656" s="6" t="s">
        <v>290</v>
      </c>
      <c r="F656" s="8">
        <v>23.9</v>
      </c>
      <c r="G656" s="9">
        <v>7</v>
      </c>
      <c r="H656" s="9">
        <v>70</v>
      </c>
      <c r="I656" s="10">
        <v>1</v>
      </c>
      <c r="J656" s="11" t="s">
        <v>241</v>
      </c>
      <c r="K656" s="11">
        <v>0</v>
      </c>
      <c r="L656" s="11">
        <v>1.1386000000000001</v>
      </c>
      <c r="M656" s="11">
        <v>7.9703999999999997</v>
      </c>
      <c r="N656" s="11">
        <v>0.26440000000000002</v>
      </c>
    </row>
    <row r="657" spans="2:14" ht="15" customHeight="1" x14ac:dyDescent="0.25">
      <c r="B657" s="6" t="s">
        <v>1539</v>
      </c>
      <c r="C657" s="7" t="s">
        <v>1540</v>
      </c>
      <c r="D657" s="6" t="s">
        <v>240</v>
      </c>
      <c r="E657" s="6" t="s">
        <v>290</v>
      </c>
      <c r="F657" s="8">
        <v>19</v>
      </c>
      <c r="G657" s="9">
        <v>6</v>
      </c>
      <c r="H657" s="9">
        <v>56</v>
      </c>
      <c r="I657" s="10">
        <v>1</v>
      </c>
      <c r="J657" s="11" t="s">
        <v>241</v>
      </c>
      <c r="K657" s="11">
        <v>0</v>
      </c>
      <c r="L657" s="11">
        <v>1.0442</v>
      </c>
      <c r="M657" s="11">
        <v>6.2651000000000003</v>
      </c>
      <c r="N657" s="11">
        <v>0.27739999999999998</v>
      </c>
    </row>
    <row r="658" spans="2:14" ht="15" customHeight="1" x14ac:dyDescent="0.25">
      <c r="B658" s="6" t="s">
        <v>1541</v>
      </c>
      <c r="C658" s="7" t="s">
        <v>1542</v>
      </c>
      <c r="D658" s="6" t="s">
        <v>240</v>
      </c>
      <c r="E658" s="6" t="s">
        <v>290</v>
      </c>
      <c r="F658" s="8">
        <v>14.5</v>
      </c>
      <c r="G658" s="9">
        <v>4</v>
      </c>
      <c r="H658" s="9">
        <v>42</v>
      </c>
      <c r="I658" s="10">
        <v>1</v>
      </c>
      <c r="J658" s="11" t="s">
        <v>241</v>
      </c>
      <c r="K658" s="11">
        <v>0</v>
      </c>
      <c r="L658" s="11">
        <v>1.1866000000000001</v>
      </c>
      <c r="M658" s="11">
        <v>4.7462999999999997</v>
      </c>
      <c r="N658" s="11">
        <v>0.27089999999999997</v>
      </c>
    </row>
    <row r="659" spans="2:14" ht="15" customHeight="1" x14ac:dyDescent="0.25">
      <c r="B659" s="6" t="s">
        <v>1543</v>
      </c>
      <c r="C659" s="7" t="s">
        <v>1544</v>
      </c>
      <c r="D659" s="6" t="s">
        <v>240</v>
      </c>
      <c r="E659" s="6" t="s">
        <v>290</v>
      </c>
      <c r="F659" s="8">
        <v>18</v>
      </c>
      <c r="G659" s="9">
        <v>11</v>
      </c>
      <c r="H659" s="9">
        <v>27</v>
      </c>
      <c r="I659" s="10">
        <v>1</v>
      </c>
      <c r="J659" s="11" t="s">
        <v>241</v>
      </c>
      <c r="K659" s="11">
        <v>0</v>
      </c>
      <c r="L659" s="11">
        <v>0.57279999999999998</v>
      </c>
      <c r="M659" s="11">
        <v>6.3007999999999997</v>
      </c>
      <c r="N659" s="11">
        <v>0.28079999999999999</v>
      </c>
    </row>
    <row r="660" spans="2:14" ht="15" customHeight="1" x14ac:dyDescent="0.25">
      <c r="B660" s="6" t="s">
        <v>1545</v>
      </c>
      <c r="C660" s="7" t="s">
        <v>1546</v>
      </c>
      <c r="D660" s="6" t="s">
        <v>240</v>
      </c>
      <c r="E660" s="6" t="s">
        <v>290</v>
      </c>
      <c r="F660" s="8">
        <v>11</v>
      </c>
      <c r="G660" s="9">
        <v>3</v>
      </c>
      <c r="H660" s="9">
        <v>32</v>
      </c>
      <c r="I660" s="10">
        <v>1</v>
      </c>
      <c r="J660" s="11" t="s">
        <v>241</v>
      </c>
      <c r="K660" s="11">
        <v>0</v>
      </c>
      <c r="L660" s="11">
        <v>1.2430000000000001</v>
      </c>
      <c r="M660" s="11">
        <v>3.7288999999999999</v>
      </c>
      <c r="N660" s="11">
        <v>0.28570000000000001</v>
      </c>
    </row>
    <row r="661" spans="2:14" ht="15" customHeight="1" x14ac:dyDescent="0.25">
      <c r="B661" s="6" t="s">
        <v>1547</v>
      </c>
      <c r="C661" s="7" t="s">
        <v>1548</v>
      </c>
      <c r="D661" s="6" t="s">
        <v>240</v>
      </c>
      <c r="E661" s="6" t="s">
        <v>290</v>
      </c>
      <c r="F661" s="8">
        <v>7.3</v>
      </c>
      <c r="G661" s="9">
        <v>2</v>
      </c>
      <c r="H661" s="9">
        <v>21</v>
      </c>
      <c r="I661" s="10">
        <v>1</v>
      </c>
      <c r="J661" s="11" t="s">
        <v>241</v>
      </c>
      <c r="K661" s="11">
        <v>0</v>
      </c>
      <c r="L661" s="11">
        <v>1.2718</v>
      </c>
      <c r="M661" s="11">
        <v>2.5436999999999999</v>
      </c>
      <c r="N661" s="11">
        <v>0.28749999999999998</v>
      </c>
    </row>
    <row r="662" spans="2:14" ht="15" customHeight="1" x14ac:dyDescent="0.25">
      <c r="B662" s="6" t="s">
        <v>1549</v>
      </c>
      <c r="C662" s="7" t="s">
        <v>1550</v>
      </c>
      <c r="D662" s="6" t="s">
        <v>240</v>
      </c>
      <c r="E662" s="6" t="s">
        <v>290</v>
      </c>
      <c r="F662" s="8">
        <v>3.8</v>
      </c>
      <c r="G662" s="9">
        <v>1</v>
      </c>
      <c r="H662" s="9">
        <v>11</v>
      </c>
      <c r="I662" s="10">
        <v>1</v>
      </c>
      <c r="J662" s="11" t="s">
        <v>241</v>
      </c>
      <c r="K662" s="11" t="s">
        <v>241</v>
      </c>
      <c r="L662" s="11" t="s">
        <v>241</v>
      </c>
      <c r="M662" s="11">
        <v>1.2009000000000001</v>
      </c>
      <c r="N662" s="11">
        <v>0.29020000000000001</v>
      </c>
    </row>
    <row r="663" spans="2:14" ht="15" customHeight="1" x14ac:dyDescent="0.25">
      <c r="B663" s="6" t="s">
        <v>1551</v>
      </c>
      <c r="C663" s="7" t="s">
        <v>1552</v>
      </c>
      <c r="D663" s="6" t="s">
        <v>240</v>
      </c>
      <c r="E663" s="6" t="s">
        <v>290</v>
      </c>
      <c r="F663" s="8">
        <v>14.7</v>
      </c>
      <c r="G663" s="9">
        <v>4</v>
      </c>
      <c r="H663" s="9">
        <v>44</v>
      </c>
      <c r="I663" s="10">
        <v>1</v>
      </c>
      <c r="J663" s="11" t="s">
        <v>241</v>
      </c>
      <c r="K663" s="11">
        <v>0</v>
      </c>
      <c r="L663" s="11">
        <v>1.282</v>
      </c>
      <c r="M663" s="11">
        <v>5.1279000000000003</v>
      </c>
      <c r="N663" s="11">
        <v>0.27939999999999998</v>
      </c>
    </row>
    <row r="664" spans="2:14" ht="15" customHeight="1" x14ac:dyDescent="0.25">
      <c r="B664" s="6" t="s">
        <v>1553</v>
      </c>
      <c r="C664" s="7" t="s">
        <v>1554</v>
      </c>
      <c r="D664" s="6" t="s">
        <v>240</v>
      </c>
      <c r="E664" s="6" t="s">
        <v>290</v>
      </c>
      <c r="F664" s="8">
        <v>9.1999999999999993</v>
      </c>
      <c r="G664" s="9">
        <v>2</v>
      </c>
      <c r="H664" s="9">
        <v>26</v>
      </c>
      <c r="I664" s="10">
        <v>1</v>
      </c>
      <c r="J664" s="11" t="s">
        <v>241</v>
      </c>
      <c r="K664" s="11">
        <v>0</v>
      </c>
      <c r="L664" s="11">
        <v>1.5696000000000001</v>
      </c>
      <c r="M664" s="11">
        <v>3.1392000000000002</v>
      </c>
      <c r="N664" s="11">
        <v>0.2974</v>
      </c>
    </row>
    <row r="665" spans="2:14" ht="15" customHeight="1" x14ac:dyDescent="0.25">
      <c r="B665" s="6" t="s">
        <v>1555</v>
      </c>
      <c r="C665" s="7" t="s">
        <v>1556</v>
      </c>
      <c r="D665" s="6" t="s">
        <v>240</v>
      </c>
      <c r="E665" s="6" t="s">
        <v>290</v>
      </c>
      <c r="F665" s="8">
        <v>6.7</v>
      </c>
      <c r="G665" s="9">
        <v>2</v>
      </c>
      <c r="H665" s="9">
        <v>20</v>
      </c>
      <c r="I665" s="10">
        <v>1</v>
      </c>
      <c r="J665" s="11" t="s">
        <v>241</v>
      </c>
      <c r="K665" s="11">
        <v>0</v>
      </c>
      <c r="L665" s="11">
        <v>1.1621999999999999</v>
      </c>
      <c r="M665" s="11">
        <v>2.3245</v>
      </c>
      <c r="N665" s="11">
        <v>0.2772</v>
      </c>
    </row>
    <row r="666" spans="2:14" ht="15" customHeight="1" x14ac:dyDescent="0.25">
      <c r="B666" s="6" t="s">
        <v>1557</v>
      </c>
      <c r="C666" s="7" t="s">
        <v>1558</v>
      </c>
      <c r="D666" s="6" t="s">
        <v>240</v>
      </c>
      <c r="E666" s="6" t="s">
        <v>290</v>
      </c>
      <c r="F666" s="8">
        <v>4.4000000000000004</v>
      </c>
      <c r="G666" s="9">
        <v>1</v>
      </c>
      <c r="H666" s="9">
        <v>14</v>
      </c>
      <c r="I666" s="10">
        <v>1</v>
      </c>
      <c r="J666" s="11" t="s">
        <v>241</v>
      </c>
      <c r="K666" s="11" t="s">
        <v>241</v>
      </c>
      <c r="L666" s="11" t="s">
        <v>241</v>
      </c>
      <c r="M666" s="11">
        <v>1.4100999999999999</v>
      </c>
      <c r="N666" s="11">
        <v>0.27979999999999999</v>
      </c>
    </row>
    <row r="667" spans="2:14" ht="15" customHeight="1" x14ac:dyDescent="0.25">
      <c r="B667" s="6" t="s">
        <v>1559</v>
      </c>
      <c r="C667" s="7" t="s">
        <v>1560</v>
      </c>
      <c r="D667" s="6" t="s">
        <v>240</v>
      </c>
      <c r="E667" s="6" t="s">
        <v>290</v>
      </c>
      <c r="F667" s="8">
        <v>7.5</v>
      </c>
      <c r="G667" s="9">
        <v>2</v>
      </c>
      <c r="H667" s="9">
        <v>22</v>
      </c>
      <c r="I667" s="10">
        <v>1</v>
      </c>
      <c r="J667" s="11" t="s">
        <v>241</v>
      </c>
      <c r="K667" s="11">
        <v>0</v>
      </c>
      <c r="L667" s="11">
        <v>1.5019</v>
      </c>
      <c r="M667" s="11">
        <v>3.0036999999999998</v>
      </c>
      <c r="N667" s="11">
        <v>0.34970000000000001</v>
      </c>
    </row>
    <row r="668" spans="2:14" ht="15" customHeight="1" x14ac:dyDescent="0.25">
      <c r="B668" s="6" t="s">
        <v>1561</v>
      </c>
      <c r="C668" s="7" t="s">
        <v>1562</v>
      </c>
      <c r="D668" s="6" t="s">
        <v>240</v>
      </c>
      <c r="E668" s="6" t="s">
        <v>290</v>
      </c>
      <c r="F668" s="8">
        <v>3.7</v>
      </c>
      <c r="G668" s="9">
        <v>1</v>
      </c>
      <c r="H668" s="9">
        <v>11</v>
      </c>
      <c r="I668" s="10">
        <v>1</v>
      </c>
      <c r="J668" s="11" t="s">
        <v>241</v>
      </c>
      <c r="K668" s="11" t="s">
        <v>241</v>
      </c>
      <c r="L668" s="11" t="s">
        <v>241</v>
      </c>
      <c r="M668" s="11">
        <v>1.3954</v>
      </c>
      <c r="N668" s="11">
        <v>0.31730000000000003</v>
      </c>
    </row>
    <row r="669" spans="2:14" ht="15" customHeight="1" x14ac:dyDescent="0.25">
      <c r="B669" s="6" t="s">
        <v>1563</v>
      </c>
      <c r="C669" s="7" t="s">
        <v>1564</v>
      </c>
      <c r="D669" s="6" t="s">
        <v>240</v>
      </c>
      <c r="E669" s="6" t="s">
        <v>290</v>
      </c>
      <c r="F669" s="8">
        <v>2.6</v>
      </c>
      <c r="G669" s="9">
        <v>1</v>
      </c>
      <c r="H669" s="9">
        <v>8</v>
      </c>
      <c r="I669" s="10">
        <v>1</v>
      </c>
      <c r="J669" s="11" t="s">
        <v>241</v>
      </c>
      <c r="K669" s="11" t="s">
        <v>241</v>
      </c>
      <c r="L669" s="11" t="s">
        <v>241</v>
      </c>
      <c r="M669" s="11">
        <v>0.96870000000000001</v>
      </c>
      <c r="N669" s="11">
        <v>0.29909999999999998</v>
      </c>
    </row>
    <row r="670" spans="2:14" ht="15" customHeight="1" x14ac:dyDescent="0.25">
      <c r="B670" s="6" t="s">
        <v>1565</v>
      </c>
      <c r="C670" s="7" t="s">
        <v>1566</v>
      </c>
      <c r="D670" s="6" t="s">
        <v>240</v>
      </c>
      <c r="E670" s="6" t="s">
        <v>290</v>
      </c>
      <c r="F670" s="8">
        <v>2</v>
      </c>
      <c r="G670" s="9">
        <v>1</v>
      </c>
      <c r="H670" s="9">
        <v>6</v>
      </c>
      <c r="I670" s="10">
        <v>1</v>
      </c>
      <c r="J670" s="11" t="s">
        <v>241</v>
      </c>
      <c r="K670" s="11" t="s">
        <v>241</v>
      </c>
      <c r="L670" s="11" t="s">
        <v>241</v>
      </c>
      <c r="M670" s="11">
        <v>0.60809999999999997</v>
      </c>
      <c r="N670" s="11">
        <v>0.35020000000000001</v>
      </c>
    </row>
    <row r="671" spans="2:14" ht="15" customHeight="1" x14ac:dyDescent="0.25">
      <c r="B671" s="6" t="s">
        <v>1567</v>
      </c>
      <c r="C671" s="7" t="s">
        <v>1568</v>
      </c>
      <c r="D671" s="6" t="s">
        <v>240</v>
      </c>
      <c r="E671" s="6" t="s">
        <v>240</v>
      </c>
      <c r="F671" s="8">
        <v>6.3</v>
      </c>
      <c r="G671" s="9">
        <v>2</v>
      </c>
      <c r="H671" s="9">
        <v>19</v>
      </c>
      <c r="I671" s="10">
        <v>1</v>
      </c>
      <c r="J671" s="11" t="s">
        <v>241</v>
      </c>
      <c r="K671" s="11">
        <v>1.2338</v>
      </c>
      <c r="L671" s="11">
        <v>1.2257</v>
      </c>
      <c r="M671" s="11">
        <v>3.6852</v>
      </c>
      <c r="N671" s="11">
        <v>0.31590000000000001</v>
      </c>
    </row>
    <row r="672" spans="2:14" ht="15" customHeight="1" x14ac:dyDescent="0.25">
      <c r="B672" s="6" t="s">
        <v>1569</v>
      </c>
      <c r="C672" s="7" t="s">
        <v>1570</v>
      </c>
      <c r="D672" s="6" t="s">
        <v>240</v>
      </c>
      <c r="E672" s="6" t="s">
        <v>240</v>
      </c>
      <c r="F672" s="8">
        <v>12.3</v>
      </c>
      <c r="G672" s="9">
        <v>4</v>
      </c>
      <c r="H672" s="9">
        <v>36</v>
      </c>
      <c r="I672" s="10">
        <v>1.37</v>
      </c>
      <c r="J672" s="11" t="s">
        <v>241</v>
      </c>
      <c r="K672" s="11">
        <v>0.55920000000000003</v>
      </c>
      <c r="L672" s="11">
        <v>1.0825</v>
      </c>
      <c r="M672" s="11">
        <v>4.8893000000000004</v>
      </c>
      <c r="N672" s="11">
        <v>0.2757</v>
      </c>
    </row>
    <row r="673" spans="2:14" ht="15" customHeight="1" x14ac:dyDescent="0.25">
      <c r="B673" s="6" t="s">
        <v>1571</v>
      </c>
      <c r="C673" s="7" t="s">
        <v>1572</v>
      </c>
      <c r="D673" s="6" t="s">
        <v>290</v>
      </c>
      <c r="E673" s="6" t="s">
        <v>240</v>
      </c>
      <c r="F673" s="8">
        <v>3.4</v>
      </c>
      <c r="G673" s="9">
        <v>1</v>
      </c>
      <c r="H673" s="9">
        <v>10</v>
      </c>
      <c r="I673" s="10">
        <v>1.25</v>
      </c>
      <c r="J673" s="11">
        <v>0.61160000000000003</v>
      </c>
      <c r="K673" s="11" t="s">
        <v>241</v>
      </c>
      <c r="L673" s="11" t="s">
        <v>241</v>
      </c>
      <c r="M673" s="11">
        <v>1.6954</v>
      </c>
      <c r="N673" s="11">
        <v>0.246</v>
      </c>
    </row>
    <row r="674" spans="2:14" ht="15" customHeight="1" x14ac:dyDescent="0.25">
      <c r="B674" s="6" t="s">
        <v>1573</v>
      </c>
      <c r="C674" s="7" t="s">
        <v>1574</v>
      </c>
      <c r="D674" s="6" t="s">
        <v>290</v>
      </c>
      <c r="E674" s="6" t="s">
        <v>240</v>
      </c>
      <c r="F674" s="8">
        <v>6</v>
      </c>
      <c r="G674" s="9">
        <v>1</v>
      </c>
      <c r="H674" s="9">
        <v>17</v>
      </c>
      <c r="I674" s="10">
        <v>1.35</v>
      </c>
      <c r="J674" s="11">
        <v>0.24379999999999999</v>
      </c>
      <c r="K674" s="11" t="s">
        <v>241</v>
      </c>
      <c r="L674" s="11" t="s">
        <v>241</v>
      </c>
      <c r="M674" s="11">
        <v>1.7517</v>
      </c>
      <c r="N674" s="11">
        <v>0.3281</v>
      </c>
    </row>
    <row r="675" spans="2:14" ht="15" customHeight="1" x14ac:dyDescent="0.25">
      <c r="B675" s="6" t="s">
        <v>1575</v>
      </c>
      <c r="C675" s="7" t="s">
        <v>1576</v>
      </c>
      <c r="D675" s="6" t="s">
        <v>240</v>
      </c>
      <c r="E675" s="6" t="s">
        <v>240</v>
      </c>
      <c r="F675" s="8">
        <v>1.1000000000000001</v>
      </c>
      <c r="G675" s="9">
        <v>1</v>
      </c>
      <c r="H675" s="9">
        <v>3</v>
      </c>
      <c r="I675" s="10">
        <v>1.74</v>
      </c>
      <c r="J675" s="11" t="s">
        <v>241</v>
      </c>
      <c r="K675" s="11" t="s">
        <v>241</v>
      </c>
      <c r="L675" s="11" t="s">
        <v>241</v>
      </c>
      <c r="M675" s="11">
        <v>0.2082</v>
      </c>
      <c r="N675" s="11">
        <v>0.1535</v>
      </c>
    </row>
    <row r="676" spans="2:14" ht="15" customHeight="1" x14ac:dyDescent="0.25">
      <c r="B676" s="6" t="s">
        <v>1577</v>
      </c>
      <c r="C676" s="7" t="s">
        <v>1578</v>
      </c>
      <c r="D676" s="6" t="s">
        <v>290</v>
      </c>
      <c r="E676" s="6" t="s">
        <v>240</v>
      </c>
      <c r="F676" s="8">
        <v>5.0999999999999996</v>
      </c>
      <c r="G676" s="9">
        <v>1</v>
      </c>
      <c r="H676" s="9">
        <v>15</v>
      </c>
      <c r="I676" s="10">
        <v>1.35</v>
      </c>
      <c r="J676" s="11">
        <v>0.3049</v>
      </c>
      <c r="K676" s="11" t="s">
        <v>241</v>
      </c>
      <c r="L676" s="11" t="s">
        <v>241</v>
      </c>
      <c r="M676" s="11">
        <v>1.3773</v>
      </c>
      <c r="N676" s="11">
        <v>0.24790000000000001</v>
      </c>
    </row>
    <row r="677" spans="2:14" ht="15" customHeight="1" x14ac:dyDescent="0.25">
      <c r="B677" s="6" t="s">
        <v>1579</v>
      </c>
      <c r="C677" s="7" t="s">
        <v>1580</v>
      </c>
      <c r="D677" s="6" t="s">
        <v>240</v>
      </c>
      <c r="E677" s="6" t="s">
        <v>240</v>
      </c>
      <c r="F677" s="8">
        <v>1.2</v>
      </c>
      <c r="G677" s="9">
        <v>1</v>
      </c>
      <c r="H677" s="9">
        <v>4</v>
      </c>
      <c r="I677" s="10">
        <v>1.32</v>
      </c>
      <c r="J677" s="11" t="s">
        <v>241</v>
      </c>
      <c r="K677" s="11" t="s">
        <v>241</v>
      </c>
      <c r="L677" s="11" t="s">
        <v>241</v>
      </c>
      <c r="M677" s="11">
        <v>0.34089999999999998</v>
      </c>
      <c r="N677" s="11">
        <v>0.16389999999999999</v>
      </c>
    </row>
    <row r="678" spans="2:14" ht="15" customHeight="1" x14ac:dyDescent="0.25">
      <c r="B678" s="6" t="s">
        <v>1581</v>
      </c>
      <c r="C678" s="7" t="s">
        <v>1582</v>
      </c>
      <c r="D678" s="6" t="s">
        <v>240</v>
      </c>
      <c r="E678" s="6" t="s">
        <v>240</v>
      </c>
      <c r="F678" s="8">
        <v>1.1000000000000001</v>
      </c>
      <c r="G678" s="9">
        <v>1</v>
      </c>
      <c r="H678" s="9">
        <v>3</v>
      </c>
      <c r="I678" s="10">
        <v>1.67</v>
      </c>
      <c r="J678" s="11" t="s">
        <v>241</v>
      </c>
      <c r="K678" s="11" t="s">
        <v>241</v>
      </c>
      <c r="L678" s="11" t="s">
        <v>241</v>
      </c>
      <c r="M678" s="11">
        <v>0.15959999999999999</v>
      </c>
      <c r="N678" s="11">
        <v>0.1084</v>
      </c>
    </row>
    <row r="679" spans="2:14" ht="15" customHeight="1" x14ac:dyDescent="0.25">
      <c r="B679" s="6" t="s">
        <v>1583</v>
      </c>
      <c r="C679" s="7" t="s">
        <v>1584</v>
      </c>
      <c r="D679" s="6" t="s">
        <v>290</v>
      </c>
      <c r="E679" s="6" t="s">
        <v>240</v>
      </c>
      <c r="F679" s="8">
        <v>6.9</v>
      </c>
      <c r="G679" s="9">
        <v>2</v>
      </c>
      <c r="H679" s="9">
        <v>19</v>
      </c>
      <c r="I679" s="10">
        <v>1.22</v>
      </c>
      <c r="J679" s="11">
        <v>0.23949999999999999</v>
      </c>
      <c r="K679" s="11">
        <v>0</v>
      </c>
      <c r="L679" s="11">
        <v>0.96</v>
      </c>
      <c r="M679" s="11">
        <v>1.92</v>
      </c>
      <c r="N679" s="11">
        <v>0.24010000000000001</v>
      </c>
    </row>
    <row r="680" spans="2:14" ht="15" customHeight="1" x14ac:dyDescent="0.25">
      <c r="B680" s="6" t="s">
        <v>1585</v>
      </c>
      <c r="C680" s="7" t="s">
        <v>1586</v>
      </c>
      <c r="D680" s="6" t="s">
        <v>290</v>
      </c>
      <c r="E680" s="6" t="s">
        <v>240</v>
      </c>
      <c r="F680" s="8">
        <v>3.1</v>
      </c>
      <c r="G680" s="9">
        <v>1</v>
      </c>
      <c r="H680" s="9">
        <v>8</v>
      </c>
      <c r="I680" s="10">
        <v>1.37</v>
      </c>
      <c r="J680" s="11">
        <v>0.18459999999999999</v>
      </c>
      <c r="K680" s="11" t="s">
        <v>241</v>
      </c>
      <c r="L680" s="11" t="s">
        <v>241</v>
      </c>
      <c r="M680" s="11">
        <v>0.65300000000000002</v>
      </c>
      <c r="N680" s="11">
        <v>0.1285</v>
      </c>
    </row>
    <row r="681" spans="2:14" ht="15" customHeight="1" x14ac:dyDescent="0.25">
      <c r="B681" s="6" t="s">
        <v>1587</v>
      </c>
      <c r="C681" s="7" t="s">
        <v>1588</v>
      </c>
      <c r="D681" s="6" t="s">
        <v>240</v>
      </c>
      <c r="E681" s="6" t="s">
        <v>240</v>
      </c>
      <c r="F681" s="8">
        <v>25.1</v>
      </c>
      <c r="G681" s="9">
        <v>8</v>
      </c>
      <c r="H681" s="9">
        <v>78</v>
      </c>
      <c r="I681" s="10">
        <v>1</v>
      </c>
      <c r="J681" s="11" t="s">
        <v>241</v>
      </c>
      <c r="K681" s="11">
        <v>1.0818000000000001</v>
      </c>
      <c r="L681" s="11">
        <v>1.5502</v>
      </c>
      <c r="M681" s="11">
        <v>13.4831</v>
      </c>
      <c r="N681" s="11">
        <v>0.36499999999999999</v>
      </c>
    </row>
    <row r="682" spans="2:14" ht="15" customHeight="1" x14ac:dyDescent="0.25">
      <c r="B682" s="6" t="s">
        <v>1589</v>
      </c>
      <c r="C682" s="7" t="s">
        <v>1590</v>
      </c>
      <c r="D682" s="6" t="s">
        <v>240</v>
      </c>
      <c r="E682" s="6" t="s">
        <v>240</v>
      </c>
      <c r="F682" s="8">
        <v>6.9</v>
      </c>
      <c r="G682" s="9">
        <v>2</v>
      </c>
      <c r="H682" s="9">
        <v>18</v>
      </c>
      <c r="I682" s="10">
        <v>1</v>
      </c>
      <c r="J682" s="11" t="s">
        <v>241</v>
      </c>
      <c r="K682" s="11">
        <v>0.35339999999999999</v>
      </c>
      <c r="L682" s="11">
        <v>1.6819</v>
      </c>
      <c r="M682" s="11">
        <v>3.7170999999999998</v>
      </c>
      <c r="N682" s="11">
        <v>0.32969999999999999</v>
      </c>
    </row>
    <row r="683" spans="2:14" ht="15" customHeight="1" x14ac:dyDescent="0.25">
      <c r="B683" s="6" t="s">
        <v>1591</v>
      </c>
      <c r="C683" s="7" t="s">
        <v>1592</v>
      </c>
      <c r="D683" s="6" t="s">
        <v>240</v>
      </c>
      <c r="E683" s="6" t="s">
        <v>240</v>
      </c>
      <c r="F683" s="8">
        <v>12.4</v>
      </c>
      <c r="G683" s="9">
        <v>4</v>
      </c>
      <c r="H683" s="9">
        <v>38</v>
      </c>
      <c r="I683" s="10">
        <v>1</v>
      </c>
      <c r="J683" s="11" t="s">
        <v>241</v>
      </c>
      <c r="K683" s="11">
        <v>2.1025</v>
      </c>
      <c r="L683" s="11">
        <v>1.4316</v>
      </c>
      <c r="M683" s="11">
        <v>7.8289999999999997</v>
      </c>
      <c r="N683" s="11">
        <v>0.33700000000000002</v>
      </c>
    </row>
    <row r="684" spans="2:14" ht="15" customHeight="1" x14ac:dyDescent="0.25">
      <c r="B684" s="6" t="s">
        <v>1593</v>
      </c>
      <c r="C684" s="7" t="s">
        <v>1594</v>
      </c>
      <c r="D684" s="6" t="s">
        <v>240</v>
      </c>
      <c r="E684" s="6" t="s">
        <v>240</v>
      </c>
      <c r="F684" s="8">
        <v>6.5</v>
      </c>
      <c r="G684" s="9">
        <v>2</v>
      </c>
      <c r="H684" s="9">
        <v>19</v>
      </c>
      <c r="I684" s="10">
        <v>1</v>
      </c>
      <c r="J684" s="11" t="s">
        <v>241</v>
      </c>
      <c r="K684" s="11">
        <v>1.4592000000000001</v>
      </c>
      <c r="L684" s="11">
        <v>1.2535000000000001</v>
      </c>
      <c r="M684" s="11">
        <v>3.9662000000000002</v>
      </c>
      <c r="N684" s="11">
        <v>0.1646</v>
      </c>
    </row>
    <row r="685" spans="2:14" ht="15" customHeight="1" x14ac:dyDescent="0.25">
      <c r="B685" s="6" t="s">
        <v>1595</v>
      </c>
      <c r="C685" s="7" t="s">
        <v>1596</v>
      </c>
      <c r="D685" s="6" t="s">
        <v>240</v>
      </c>
      <c r="E685" s="6" t="s">
        <v>240</v>
      </c>
      <c r="F685" s="8">
        <v>2.9</v>
      </c>
      <c r="G685" s="9">
        <v>1</v>
      </c>
      <c r="H685" s="9">
        <v>9</v>
      </c>
      <c r="I685" s="10">
        <v>1</v>
      </c>
      <c r="J685" s="11" t="s">
        <v>241</v>
      </c>
      <c r="K685" s="11" t="s">
        <v>241</v>
      </c>
      <c r="L685" s="11" t="s">
        <v>241</v>
      </c>
      <c r="M685" s="11">
        <v>1.9154</v>
      </c>
      <c r="N685" s="11">
        <v>0.255</v>
      </c>
    </row>
    <row r="686" spans="2:14" ht="15" customHeight="1" x14ac:dyDescent="0.25">
      <c r="B686" s="6" t="s">
        <v>1597</v>
      </c>
      <c r="C686" s="7" t="s">
        <v>1598</v>
      </c>
      <c r="D686" s="6" t="s">
        <v>240</v>
      </c>
      <c r="E686" s="6" t="s">
        <v>240</v>
      </c>
      <c r="F686" s="8">
        <v>27.2</v>
      </c>
      <c r="G686" s="9">
        <v>9</v>
      </c>
      <c r="H686" s="9">
        <v>87</v>
      </c>
      <c r="I686" s="10">
        <v>1.65</v>
      </c>
      <c r="J686" s="11" t="s">
        <v>241</v>
      </c>
      <c r="K686" s="11">
        <v>0.48699999999999999</v>
      </c>
      <c r="L686" s="11">
        <v>1.1646000000000001</v>
      </c>
      <c r="M686" s="11">
        <v>10.968500000000001</v>
      </c>
      <c r="N686" s="11">
        <v>0.35489999999999999</v>
      </c>
    </row>
    <row r="687" spans="2:14" ht="15" customHeight="1" x14ac:dyDescent="0.25">
      <c r="B687" s="6" t="s">
        <v>1599</v>
      </c>
      <c r="C687" s="7" t="s">
        <v>1600</v>
      </c>
      <c r="D687" s="6" t="s">
        <v>240</v>
      </c>
      <c r="E687" s="6" t="s">
        <v>240</v>
      </c>
      <c r="F687" s="8">
        <v>11</v>
      </c>
      <c r="G687" s="9">
        <v>3</v>
      </c>
      <c r="H687" s="9">
        <v>30</v>
      </c>
      <c r="I687" s="10">
        <v>1</v>
      </c>
      <c r="J687" s="11" t="s">
        <v>241</v>
      </c>
      <c r="K687" s="11">
        <v>0.41470000000000001</v>
      </c>
      <c r="L687" s="11">
        <v>1.3456999999999999</v>
      </c>
      <c r="M687" s="11">
        <v>4.4516999999999998</v>
      </c>
      <c r="N687" s="11">
        <v>0.27989999999999998</v>
      </c>
    </row>
    <row r="688" spans="2:14" ht="15" customHeight="1" x14ac:dyDescent="0.25">
      <c r="B688" s="6" t="s">
        <v>1601</v>
      </c>
      <c r="C688" s="7" t="s">
        <v>1602</v>
      </c>
      <c r="D688" s="6" t="s">
        <v>290</v>
      </c>
      <c r="E688" s="6" t="s">
        <v>240</v>
      </c>
      <c r="F688" s="8">
        <v>5.5</v>
      </c>
      <c r="G688" s="9">
        <v>1</v>
      </c>
      <c r="H688" s="9">
        <v>15</v>
      </c>
      <c r="I688" s="10">
        <v>1.46</v>
      </c>
      <c r="J688" s="11">
        <v>0.5766</v>
      </c>
      <c r="K688" s="11" t="s">
        <v>241</v>
      </c>
      <c r="L688" s="11" t="s">
        <v>241</v>
      </c>
      <c r="M688" s="11">
        <v>2.2905000000000002</v>
      </c>
      <c r="N688" s="11">
        <v>0.25169999999999998</v>
      </c>
    </row>
    <row r="689" spans="2:14" ht="15" customHeight="1" x14ac:dyDescent="0.25">
      <c r="B689" s="6" t="s">
        <v>1603</v>
      </c>
      <c r="C689" s="7" t="s">
        <v>1604</v>
      </c>
      <c r="D689" s="6" t="s">
        <v>290</v>
      </c>
      <c r="E689" s="6" t="s">
        <v>240</v>
      </c>
      <c r="F689" s="8">
        <v>8.6</v>
      </c>
      <c r="G689" s="9">
        <v>3</v>
      </c>
      <c r="H689" s="9">
        <v>27</v>
      </c>
      <c r="I689" s="10">
        <v>1</v>
      </c>
      <c r="J689" s="11">
        <v>0.77349999999999997</v>
      </c>
      <c r="K689" s="11">
        <v>0.87260000000000004</v>
      </c>
      <c r="L689" s="11">
        <v>1.2445999999999999</v>
      </c>
      <c r="M689" s="11">
        <v>4.6063000000000001</v>
      </c>
      <c r="N689" s="11">
        <v>0.25259999999999999</v>
      </c>
    </row>
    <row r="690" spans="2:14" ht="15" customHeight="1" x14ac:dyDescent="0.25">
      <c r="B690" s="6" t="s">
        <v>1605</v>
      </c>
      <c r="C690" s="7" t="s">
        <v>1606</v>
      </c>
      <c r="D690" s="6" t="s">
        <v>290</v>
      </c>
      <c r="E690" s="6" t="s">
        <v>240</v>
      </c>
      <c r="F690" s="8">
        <v>4</v>
      </c>
      <c r="G690" s="9">
        <v>1</v>
      </c>
      <c r="H690" s="9">
        <v>12</v>
      </c>
      <c r="I690" s="10">
        <v>1.1399999999999999</v>
      </c>
      <c r="J690" s="11">
        <v>0.7903</v>
      </c>
      <c r="K690" s="11" t="s">
        <v>241</v>
      </c>
      <c r="L690" s="11" t="s">
        <v>241</v>
      </c>
      <c r="M690" s="11">
        <v>2.1395</v>
      </c>
      <c r="N690" s="11">
        <v>0.25209999999999999</v>
      </c>
    </row>
    <row r="691" spans="2:14" ht="15" customHeight="1" x14ac:dyDescent="0.25">
      <c r="B691" s="6" t="s">
        <v>1607</v>
      </c>
      <c r="C691" s="7" t="s">
        <v>1608</v>
      </c>
      <c r="D691" s="6" t="s">
        <v>240</v>
      </c>
      <c r="E691" s="6" t="s">
        <v>240</v>
      </c>
      <c r="F691" s="8">
        <v>45.9</v>
      </c>
      <c r="G691" s="9">
        <v>14</v>
      </c>
      <c r="H691" s="9">
        <v>130</v>
      </c>
      <c r="I691" s="10">
        <v>2</v>
      </c>
      <c r="J691" s="11" t="s">
        <v>241</v>
      </c>
      <c r="K691" s="11">
        <v>0.51119999999999999</v>
      </c>
      <c r="L691" s="11">
        <v>1.3948</v>
      </c>
      <c r="M691" s="11">
        <v>20.039100000000001</v>
      </c>
      <c r="N691" s="11">
        <v>0.45619999999999999</v>
      </c>
    </row>
    <row r="692" spans="2:14" ht="15" customHeight="1" x14ac:dyDescent="0.25">
      <c r="B692" s="6" t="s">
        <v>1609</v>
      </c>
      <c r="C692" s="7" t="s">
        <v>1610</v>
      </c>
      <c r="D692" s="6" t="s">
        <v>240</v>
      </c>
      <c r="E692" s="6" t="s">
        <v>240</v>
      </c>
      <c r="F692" s="8">
        <v>25.2</v>
      </c>
      <c r="G692" s="9">
        <v>8</v>
      </c>
      <c r="H692" s="9">
        <v>73</v>
      </c>
      <c r="I692" s="10">
        <v>1</v>
      </c>
      <c r="J692" s="11" t="s">
        <v>241</v>
      </c>
      <c r="K692" s="11">
        <v>2.3E-2</v>
      </c>
      <c r="L692" s="11">
        <v>1.4925999999999999</v>
      </c>
      <c r="M692" s="11">
        <v>11.964</v>
      </c>
      <c r="N692" s="11">
        <v>0.37530000000000002</v>
      </c>
    </row>
    <row r="693" spans="2:14" ht="15" customHeight="1" x14ac:dyDescent="0.25">
      <c r="B693" s="6" t="s">
        <v>1611</v>
      </c>
      <c r="C693" s="7" t="s">
        <v>1612</v>
      </c>
      <c r="D693" s="6" t="s">
        <v>240</v>
      </c>
      <c r="E693" s="6" t="s">
        <v>240</v>
      </c>
      <c r="F693" s="8">
        <v>24.8</v>
      </c>
      <c r="G693" s="9">
        <v>8</v>
      </c>
      <c r="H693" s="9">
        <v>75</v>
      </c>
      <c r="I693" s="10">
        <v>1.94</v>
      </c>
      <c r="J693" s="11" t="s">
        <v>241</v>
      </c>
      <c r="K693" s="11">
        <v>0.12989999999999999</v>
      </c>
      <c r="L693" s="11">
        <v>1.2265999999999999</v>
      </c>
      <c r="M693" s="11">
        <v>9.9425000000000008</v>
      </c>
      <c r="N693" s="11">
        <v>0.38729999999999998</v>
      </c>
    </row>
    <row r="694" spans="2:14" ht="15" customHeight="1" x14ac:dyDescent="0.25">
      <c r="B694" s="6" t="s">
        <v>1613</v>
      </c>
      <c r="C694" s="7" t="s">
        <v>1614</v>
      </c>
      <c r="D694" s="6" t="s">
        <v>240</v>
      </c>
      <c r="E694" s="6" t="s">
        <v>240</v>
      </c>
      <c r="F694" s="8">
        <v>17.600000000000001</v>
      </c>
      <c r="G694" s="9">
        <v>6</v>
      </c>
      <c r="H694" s="9">
        <v>56</v>
      </c>
      <c r="I694" s="10">
        <v>1</v>
      </c>
      <c r="J694" s="11" t="s">
        <v>241</v>
      </c>
      <c r="K694" s="11">
        <v>2.18E-2</v>
      </c>
      <c r="L694" s="11">
        <v>1.1264000000000001</v>
      </c>
      <c r="M694" s="11">
        <v>6.7803000000000004</v>
      </c>
      <c r="N694" s="11">
        <v>0.37030000000000002</v>
      </c>
    </row>
    <row r="695" spans="2:14" ht="15" customHeight="1" x14ac:dyDescent="0.25">
      <c r="B695" s="6" t="s">
        <v>1615</v>
      </c>
      <c r="C695" s="7" t="s">
        <v>1616</v>
      </c>
      <c r="D695" s="6" t="s">
        <v>240</v>
      </c>
      <c r="E695" s="6" t="s">
        <v>240</v>
      </c>
      <c r="F695" s="8">
        <v>9.3000000000000007</v>
      </c>
      <c r="G695" s="9">
        <v>3</v>
      </c>
      <c r="H695" s="9">
        <v>32</v>
      </c>
      <c r="I695" s="10">
        <v>1</v>
      </c>
      <c r="J695" s="11" t="s">
        <v>241</v>
      </c>
      <c r="K695" s="11">
        <v>0</v>
      </c>
      <c r="L695" s="11">
        <v>1.3472</v>
      </c>
      <c r="M695" s="11">
        <v>4.0415999999999999</v>
      </c>
      <c r="N695" s="11">
        <v>0.2671</v>
      </c>
    </row>
    <row r="696" spans="2:14" ht="15" customHeight="1" x14ac:dyDescent="0.25">
      <c r="B696" s="6" t="s">
        <v>1617</v>
      </c>
      <c r="C696" s="7" t="s">
        <v>1618</v>
      </c>
      <c r="D696" s="6" t="s">
        <v>240</v>
      </c>
      <c r="E696" s="6" t="s">
        <v>240</v>
      </c>
      <c r="F696" s="8">
        <v>16.399999999999999</v>
      </c>
      <c r="G696" s="9">
        <v>5</v>
      </c>
      <c r="H696" s="9">
        <v>48</v>
      </c>
      <c r="I696" s="10">
        <v>1.1499999999999999</v>
      </c>
      <c r="J696" s="11" t="s">
        <v>241</v>
      </c>
      <c r="K696" s="11">
        <v>0</v>
      </c>
      <c r="L696" s="11">
        <v>1.5165</v>
      </c>
      <c r="M696" s="11">
        <v>7.5824999999999996</v>
      </c>
      <c r="N696" s="11">
        <v>0.33610000000000001</v>
      </c>
    </row>
    <row r="697" spans="2:14" ht="15" customHeight="1" x14ac:dyDescent="0.25">
      <c r="B697" s="6" t="s">
        <v>1619</v>
      </c>
      <c r="C697" s="7" t="s">
        <v>1620</v>
      </c>
      <c r="D697" s="6" t="s">
        <v>290</v>
      </c>
      <c r="E697" s="6" t="s">
        <v>240</v>
      </c>
      <c r="F697" s="8">
        <v>4.9000000000000004</v>
      </c>
      <c r="G697" s="9">
        <v>1</v>
      </c>
      <c r="H697" s="9">
        <v>14</v>
      </c>
      <c r="I697" s="10">
        <v>1.05</v>
      </c>
      <c r="J697" s="11">
        <v>0.35610000000000003</v>
      </c>
      <c r="K697" s="11" t="s">
        <v>241</v>
      </c>
      <c r="L697" s="11" t="s">
        <v>241</v>
      </c>
      <c r="M697" s="11">
        <v>1.8895999999999999</v>
      </c>
      <c r="N697" s="11">
        <v>0.28289999999999998</v>
      </c>
    </row>
    <row r="698" spans="2:14" ht="15" customHeight="1" x14ac:dyDescent="0.25">
      <c r="B698" s="6" t="s">
        <v>1621</v>
      </c>
      <c r="C698" s="7" t="s">
        <v>1622</v>
      </c>
      <c r="D698" s="6" t="s">
        <v>290</v>
      </c>
      <c r="E698" s="6" t="s">
        <v>240</v>
      </c>
      <c r="F698" s="8">
        <v>4.4000000000000004</v>
      </c>
      <c r="G698" s="9">
        <v>1</v>
      </c>
      <c r="H698" s="9">
        <v>15</v>
      </c>
      <c r="I698" s="10">
        <v>2</v>
      </c>
      <c r="J698" s="11">
        <v>0.26469999999999999</v>
      </c>
      <c r="K698" s="11" t="s">
        <v>241</v>
      </c>
      <c r="L698" s="11" t="s">
        <v>241</v>
      </c>
      <c r="M698" s="11">
        <v>1.3523000000000001</v>
      </c>
      <c r="N698" s="11">
        <v>0.2107</v>
      </c>
    </row>
    <row r="699" spans="2:14" ht="15" customHeight="1" x14ac:dyDescent="0.25">
      <c r="B699" s="6" t="s">
        <v>1623</v>
      </c>
      <c r="C699" s="7" t="s">
        <v>1624</v>
      </c>
      <c r="D699" s="6" t="s">
        <v>240</v>
      </c>
      <c r="E699" s="6" t="s">
        <v>240</v>
      </c>
      <c r="F699" s="8">
        <v>10.9</v>
      </c>
      <c r="G699" s="9">
        <v>3</v>
      </c>
      <c r="H699" s="9">
        <v>33</v>
      </c>
      <c r="I699" s="10">
        <v>1.28</v>
      </c>
      <c r="J699" s="11" t="s">
        <v>241</v>
      </c>
      <c r="K699" s="11">
        <v>0</v>
      </c>
      <c r="L699" s="11">
        <v>1.7036</v>
      </c>
      <c r="M699" s="11">
        <v>5.1109</v>
      </c>
      <c r="N699" s="11">
        <v>0.36349999999999999</v>
      </c>
    </row>
    <row r="700" spans="2:14" ht="15" customHeight="1" x14ac:dyDescent="0.25">
      <c r="B700" s="6" t="s">
        <v>1625</v>
      </c>
      <c r="C700" s="7" t="s">
        <v>1626</v>
      </c>
      <c r="D700" s="6" t="s">
        <v>290</v>
      </c>
      <c r="E700" s="6" t="s">
        <v>240</v>
      </c>
      <c r="F700" s="8">
        <v>4.2</v>
      </c>
      <c r="G700" s="9">
        <v>1</v>
      </c>
      <c r="H700" s="9">
        <v>13</v>
      </c>
      <c r="I700" s="10">
        <v>1.61</v>
      </c>
      <c r="J700" s="11">
        <v>0.31430000000000002</v>
      </c>
      <c r="K700" s="11" t="s">
        <v>241</v>
      </c>
      <c r="L700" s="11" t="s">
        <v>241</v>
      </c>
      <c r="M700" s="11">
        <v>1.5017</v>
      </c>
      <c r="N700" s="11">
        <v>0.29199999999999998</v>
      </c>
    </row>
    <row r="701" spans="2:14" ht="15" customHeight="1" x14ac:dyDescent="0.25">
      <c r="B701" s="6" t="s">
        <v>1627</v>
      </c>
      <c r="C701" s="7" t="s">
        <v>1628</v>
      </c>
      <c r="D701" s="6" t="s">
        <v>290</v>
      </c>
      <c r="E701" s="6" t="s">
        <v>240</v>
      </c>
      <c r="F701" s="8">
        <v>2.8</v>
      </c>
      <c r="G701" s="9">
        <v>1</v>
      </c>
      <c r="H701" s="9">
        <v>8</v>
      </c>
      <c r="I701" s="10">
        <v>2</v>
      </c>
      <c r="J701" s="11">
        <v>0.22459999999999999</v>
      </c>
      <c r="K701" s="11" t="s">
        <v>241</v>
      </c>
      <c r="L701" s="11" t="s">
        <v>241</v>
      </c>
      <c r="M701" s="11">
        <v>0.7681</v>
      </c>
      <c r="N701" s="11">
        <v>0.21990000000000001</v>
      </c>
    </row>
    <row r="702" spans="2:14" ht="15" customHeight="1" x14ac:dyDescent="0.25">
      <c r="B702" s="6" t="s">
        <v>1629</v>
      </c>
      <c r="C702" s="7" t="s">
        <v>1630</v>
      </c>
      <c r="D702" s="6" t="s">
        <v>240</v>
      </c>
      <c r="E702" s="6" t="s">
        <v>240</v>
      </c>
      <c r="F702" s="8">
        <v>10.8</v>
      </c>
      <c r="G702" s="9">
        <v>3</v>
      </c>
      <c r="H702" s="9">
        <v>33</v>
      </c>
      <c r="I702" s="10">
        <v>1.43</v>
      </c>
      <c r="J702" s="11" t="s">
        <v>241</v>
      </c>
      <c r="K702" s="11">
        <v>8.6800000000000002E-2</v>
      </c>
      <c r="L702" s="11">
        <v>1.1641999999999999</v>
      </c>
      <c r="M702" s="11">
        <v>3.5792999999999999</v>
      </c>
      <c r="N702" s="11">
        <v>0.25669999999999998</v>
      </c>
    </row>
    <row r="703" spans="2:14" ht="15" customHeight="1" x14ac:dyDescent="0.25">
      <c r="B703" s="6" t="s">
        <v>1631</v>
      </c>
      <c r="C703" s="7" t="s">
        <v>1632</v>
      </c>
      <c r="D703" s="6" t="s">
        <v>290</v>
      </c>
      <c r="E703" s="6" t="s">
        <v>240</v>
      </c>
      <c r="F703" s="8">
        <v>5.0999999999999996</v>
      </c>
      <c r="G703" s="9">
        <v>1</v>
      </c>
      <c r="H703" s="9">
        <v>16</v>
      </c>
      <c r="I703" s="10">
        <v>1.48</v>
      </c>
      <c r="J703" s="11">
        <v>0.42280000000000001</v>
      </c>
      <c r="K703" s="11" t="s">
        <v>241</v>
      </c>
      <c r="L703" s="11" t="s">
        <v>241</v>
      </c>
      <c r="M703" s="11">
        <v>1.4856</v>
      </c>
      <c r="N703" s="11">
        <v>0.22889999999999999</v>
      </c>
    </row>
    <row r="704" spans="2:14" ht="15" customHeight="1" x14ac:dyDescent="0.25">
      <c r="B704" s="6" t="s">
        <v>1633</v>
      </c>
      <c r="C704" s="7" t="s">
        <v>1634</v>
      </c>
      <c r="D704" s="6" t="s">
        <v>290</v>
      </c>
      <c r="E704" s="6" t="s">
        <v>240</v>
      </c>
      <c r="F704" s="8">
        <v>3.4</v>
      </c>
      <c r="G704" s="9">
        <v>1</v>
      </c>
      <c r="H704" s="9">
        <v>11</v>
      </c>
      <c r="I704" s="10">
        <v>1.63</v>
      </c>
      <c r="J704" s="11">
        <v>0.45519999999999999</v>
      </c>
      <c r="K704" s="11" t="s">
        <v>241</v>
      </c>
      <c r="L704" s="11" t="s">
        <v>241</v>
      </c>
      <c r="M704" s="11">
        <v>0.96989999999999998</v>
      </c>
      <c r="N704" s="11">
        <v>0.20380000000000001</v>
      </c>
    </row>
    <row r="705" spans="2:14" ht="15" customHeight="1" x14ac:dyDescent="0.25">
      <c r="B705" s="6" t="s">
        <v>1635</v>
      </c>
      <c r="C705" s="7" t="s">
        <v>1636</v>
      </c>
      <c r="D705" s="6" t="s">
        <v>240</v>
      </c>
      <c r="E705" s="6" t="s">
        <v>240</v>
      </c>
      <c r="F705" s="8">
        <v>1</v>
      </c>
      <c r="G705" s="9">
        <v>1</v>
      </c>
      <c r="H705" s="9">
        <v>1</v>
      </c>
      <c r="I705" s="10">
        <v>1.29</v>
      </c>
      <c r="J705" s="11" t="s">
        <v>241</v>
      </c>
      <c r="K705" s="11" t="s">
        <v>241</v>
      </c>
      <c r="L705" s="11" t="s">
        <v>241</v>
      </c>
      <c r="M705" s="11">
        <v>0.30209999999999998</v>
      </c>
      <c r="N705" s="11" t="s">
        <v>241</v>
      </c>
    </row>
    <row r="706" spans="2:14" ht="15" customHeight="1" x14ac:dyDescent="0.25">
      <c r="B706" s="6" t="s">
        <v>1637</v>
      </c>
      <c r="C706" s="7" t="s">
        <v>1638</v>
      </c>
      <c r="D706" s="6" t="s">
        <v>240</v>
      </c>
      <c r="E706" s="6" t="s">
        <v>240</v>
      </c>
      <c r="F706" s="8">
        <v>28.2</v>
      </c>
      <c r="G706" s="9">
        <v>17</v>
      </c>
      <c r="H706" s="9">
        <v>40</v>
      </c>
      <c r="I706" s="10">
        <v>1.47</v>
      </c>
      <c r="J706" s="11" t="s">
        <v>241</v>
      </c>
      <c r="K706" s="11">
        <v>0.95840000000000003</v>
      </c>
      <c r="L706" s="11">
        <v>0.60640000000000005</v>
      </c>
      <c r="M706" s="11">
        <v>11.266400000000001</v>
      </c>
      <c r="N706" s="11">
        <v>0.26700000000000002</v>
      </c>
    </row>
    <row r="707" spans="2:14" ht="15" customHeight="1" x14ac:dyDescent="0.25">
      <c r="B707" s="6" t="s">
        <v>1639</v>
      </c>
      <c r="C707" s="7" t="s">
        <v>1640</v>
      </c>
      <c r="D707" s="6" t="s">
        <v>240</v>
      </c>
      <c r="E707" s="6" t="s">
        <v>240</v>
      </c>
      <c r="F707" s="8">
        <v>16</v>
      </c>
      <c r="G707" s="9">
        <v>5</v>
      </c>
      <c r="H707" s="9">
        <v>45</v>
      </c>
      <c r="I707" s="10">
        <v>1.24</v>
      </c>
      <c r="J707" s="11" t="s">
        <v>241</v>
      </c>
      <c r="K707" s="11">
        <v>0.55920000000000003</v>
      </c>
      <c r="L707" s="11">
        <v>1.0661</v>
      </c>
      <c r="M707" s="11">
        <v>5.8898999999999999</v>
      </c>
      <c r="N707" s="11">
        <v>0.22839999999999999</v>
      </c>
    </row>
    <row r="708" spans="2:14" ht="15" customHeight="1" x14ac:dyDescent="0.25">
      <c r="B708" s="6" t="s">
        <v>1641</v>
      </c>
      <c r="C708" s="7" t="s">
        <v>1642</v>
      </c>
      <c r="D708" s="6" t="s">
        <v>240</v>
      </c>
      <c r="E708" s="6" t="s">
        <v>240</v>
      </c>
      <c r="F708" s="8">
        <v>7.4</v>
      </c>
      <c r="G708" s="9">
        <v>2</v>
      </c>
      <c r="H708" s="9">
        <v>23</v>
      </c>
      <c r="I708" s="10">
        <v>1.19</v>
      </c>
      <c r="J708" s="11" t="s">
        <v>241</v>
      </c>
      <c r="K708" s="11">
        <v>0.3639</v>
      </c>
      <c r="L708" s="11">
        <v>1.1537999999999999</v>
      </c>
      <c r="M708" s="11">
        <v>2.6715</v>
      </c>
      <c r="N708" s="11">
        <v>0.22450000000000001</v>
      </c>
    </row>
    <row r="709" spans="2:14" ht="15" customHeight="1" x14ac:dyDescent="0.25">
      <c r="B709" s="6" t="s">
        <v>1643</v>
      </c>
      <c r="C709" s="7" t="s">
        <v>1644</v>
      </c>
      <c r="D709" s="6" t="s">
        <v>240</v>
      </c>
      <c r="E709" s="6" t="s">
        <v>240</v>
      </c>
      <c r="F709" s="8">
        <v>8.1999999999999993</v>
      </c>
      <c r="G709" s="9">
        <v>2</v>
      </c>
      <c r="H709" s="9">
        <v>25</v>
      </c>
      <c r="I709" s="10">
        <v>1</v>
      </c>
      <c r="J709" s="11" t="s">
        <v>241</v>
      </c>
      <c r="K709" s="11">
        <v>7.2800000000000004E-2</v>
      </c>
      <c r="L709" s="11">
        <v>2.7359</v>
      </c>
      <c r="M709" s="11">
        <v>5.5446</v>
      </c>
      <c r="N709" s="11">
        <v>0.36409999999999998</v>
      </c>
    </row>
    <row r="710" spans="2:14" ht="15" customHeight="1" x14ac:dyDescent="0.25">
      <c r="B710" s="6" t="s">
        <v>1645</v>
      </c>
      <c r="C710" s="7" t="s">
        <v>1646</v>
      </c>
      <c r="D710" s="6" t="s">
        <v>240</v>
      </c>
      <c r="E710" s="6" t="s">
        <v>240</v>
      </c>
      <c r="F710" s="8">
        <v>13.6</v>
      </c>
      <c r="G710" s="9">
        <v>4</v>
      </c>
      <c r="H710" s="9">
        <v>39</v>
      </c>
      <c r="I710" s="10">
        <v>1.28</v>
      </c>
      <c r="J710" s="11" t="s">
        <v>241</v>
      </c>
      <c r="K710" s="11">
        <v>0</v>
      </c>
      <c r="L710" s="11">
        <v>1.1423000000000001</v>
      </c>
      <c r="M710" s="11">
        <v>4.5693000000000001</v>
      </c>
      <c r="N710" s="11">
        <v>0.24410000000000001</v>
      </c>
    </row>
    <row r="711" spans="2:14" ht="15" customHeight="1" x14ac:dyDescent="0.25">
      <c r="B711" s="6" t="s">
        <v>1647</v>
      </c>
      <c r="C711" s="7" t="s">
        <v>1648</v>
      </c>
      <c r="D711" s="6" t="s">
        <v>240</v>
      </c>
      <c r="E711" s="6" t="s">
        <v>240</v>
      </c>
      <c r="F711" s="8">
        <v>7.1</v>
      </c>
      <c r="G711" s="9">
        <v>2</v>
      </c>
      <c r="H711" s="9">
        <v>21</v>
      </c>
      <c r="I711" s="10">
        <v>1.1200000000000001</v>
      </c>
      <c r="J711" s="11" t="s">
        <v>241</v>
      </c>
      <c r="K711" s="11">
        <v>0</v>
      </c>
      <c r="L711" s="11">
        <v>1.1266</v>
      </c>
      <c r="M711" s="11">
        <v>2.2532999999999999</v>
      </c>
      <c r="N711" s="11">
        <v>0.2303</v>
      </c>
    </row>
    <row r="712" spans="2:14" ht="15" customHeight="1" x14ac:dyDescent="0.25">
      <c r="B712" s="6" t="s">
        <v>1649</v>
      </c>
      <c r="C712" s="7" t="s">
        <v>1650</v>
      </c>
      <c r="D712" s="6" t="s">
        <v>240</v>
      </c>
      <c r="E712" s="6" t="s">
        <v>240</v>
      </c>
      <c r="F712" s="8">
        <v>3.9</v>
      </c>
      <c r="G712" s="9">
        <v>1</v>
      </c>
      <c r="H712" s="9">
        <v>12</v>
      </c>
      <c r="I712" s="10">
        <v>1.1100000000000001</v>
      </c>
      <c r="J712" s="11" t="s">
        <v>241</v>
      </c>
      <c r="K712" s="11" t="s">
        <v>241</v>
      </c>
      <c r="L712" s="11" t="s">
        <v>241</v>
      </c>
      <c r="M712" s="11">
        <v>1.0568</v>
      </c>
      <c r="N712" s="11">
        <v>0.23219999999999999</v>
      </c>
    </row>
    <row r="713" spans="2:14" ht="15" customHeight="1" x14ac:dyDescent="0.25">
      <c r="B713" s="6" t="s">
        <v>1651</v>
      </c>
      <c r="C713" s="7" t="s">
        <v>1652</v>
      </c>
      <c r="D713" s="6" t="s">
        <v>240</v>
      </c>
      <c r="E713" s="6" t="s">
        <v>240</v>
      </c>
      <c r="F713" s="8">
        <v>6.8</v>
      </c>
      <c r="G713" s="9">
        <v>2</v>
      </c>
      <c r="H713" s="9">
        <v>20</v>
      </c>
      <c r="I713" s="10">
        <v>1.41</v>
      </c>
      <c r="J713" s="11" t="s">
        <v>241</v>
      </c>
      <c r="K713" s="11">
        <v>0</v>
      </c>
      <c r="L713" s="11">
        <v>0.83809999999999996</v>
      </c>
      <c r="M713" s="11">
        <v>1.6761999999999999</v>
      </c>
      <c r="N713" s="11">
        <v>0.16980000000000001</v>
      </c>
    </row>
    <row r="714" spans="2:14" ht="15" customHeight="1" x14ac:dyDescent="0.25">
      <c r="B714" s="6" t="s">
        <v>1653</v>
      </c>
      <c r="C714" s="7" t="s">
        <v>1654</v>
      </c>
      <c r="D714" s="6" t="s">
        <v>240</v>
      </c>
      <c r="E714" s="6" t="s">
        <v>240</v>
      </c>
      <c r="F714" s="8">
        <v>3.2</v>
      </c>
      <c r="G714" s="9">
        <v>1</v>
      </c>
      <c r="H714" s="9">
        <v>10</v>
      </c>
      <c r="I714" s="10">
        <v>1.56</v>
      </c>
      <c r="J714" s="11" t="s">
        <v>241</v>
      </c>
      <c r="K714" s="11" t="s">
        <v>241</v>
      </c>
      <c r="L714" s="11" t="s">
        <v>241</v>
      </c>
      <c r="M714" s="11">
        <v>0.65700000000000003</v>
      </c>
      <c r="N714" s="11">
        <v>0.15379999999999999</v>
      </c>
    </row>
    <row r="715" spans="2:14" ht="15" customHeight="1" x14ac:dyDescent="0.25">
      <c r="B715" s="6" t="s">
        <v>1655</v>
      </c>
      <c r="C715" s="7" t="s">
        <v>1656</v>
      </c>
      <c r="D715" s="6" t="s">
        <v>240</v>
      </c>
      <c r="E715" s="6" t="s">
        <v>240</v>
      </c>
      <c r="F715" s="8">
        <v>5.5</v>
      </c>
      <c r="G715" s="9">
        <v>1</v>
      </c>
      <c r="H715" s="9">
        <v>17</v>
      </c>
      <c r="I715" s="10">
        <v>0.9</v>
      </c>
      <c r="J715" s="11" t="s">
        <v>241</v>
      </c>
      <c r="K715" s="11" t="s">
        <v>241</v>
      </c>
      <c r="L715" s="11" t="s">
        <v>241</v>
      </c>
      <c r="M715" s="11">
        <v>1.5924</v>
      </c>
      <c r="N715" s="11">
        <v>0.26</v>
      </c>
    </row>
    <row r="716" spans="2:14" ht="15" customHeight="1" x14ac:dyDescent="0.25">
      <c r="B716" s="6" t="s">
        <v>1657</v>
      </c>
      <c r="C716" s="7" t="s">
        <v>1658</v>
      </c>
      <c r="D716" s="6" t="s">
        <v>240</v>
      </c>
      <c r="E716" s="6" t="s">
        <v>240</v>
      </c>
      <c r="F716" s="8">
        <v>2.1</v>
      </c>
      <c r="G716" s="9">
        <v>1</v>
      </c>
      <c r="H716" s="9">
        <v>6</v>
      </c>
      <c r="I716" s="10">
        <v>0.8</v>
      </c>
      <c r="J716" s="11" t="s">
        <v>241</v>
      </c>
      <c r="K716" s="11" t="s">
        <v>241</v>
      </c>
      <c r="L716" s="11" t="s">
        <v>241</v>
      </c>
      <c r="M716" s="11">
        <v>0.53280000000000005</v>
      </c>
      <c r="N716" s="11">
        <v>0.27089999999999997</v>
      </c>
    </row>
    <row r="717" spans="2:14" ht="15" customHeight="1" x14ac:dyDescent="0.25">
      <c r="B717" s="6" t="s">
        <v>1659</v>
      </c>
      <c r="C717" s="7" t="s">
        <v>1660</v>
      </c>
      <c r="D717" s="6" t="s">
        <v>240</v>
      </c>
      <c r="E717" s="6" t="s">
        <v>240</v>
      </c>
      <c r="F717" s="8">
        <v>6.5</v>
      </c>
      <c r="G717" s="9">
        <v>2</v>
      </c>
      <c r="H717" s="9">
        <v>20</v>
      </c>
      <c r="I717" s="10">
        <v>0.8</v>
      </c>
      <c r="J717" s="11" t="s">
        <v>241</v>
      </c>
      <c r="K717" s="11">
        <v>0</v>
      </c>
      <c r="L717" s="11">
        <v>0.82450000000000001</v>
      </c>
      <c r="M717" s="11">
        <v>1.6489</v>
      </c>
      <c r="N717" s="11">
        <v>0.2392</v>
      </c>
    </row>
    <row r="718" spans="2:14" ht="15" customHeight="1" x14ac:dyDescent="0.25">
      <c r="B718" s="6" t="s">
        <v>1661</v>
      </c>
      <c r="C718" s="7" t="s">
        <v>1662</v>
      </c>
      <c r="D718" s="6" t="s">
        <v>240</v>
      </c>
      <c r="E718" s="6" t="s">
        <v>240</v>
      </c>
      <c r="F718" s="8">
        <v>2.7</v>
      </c>
      <c r="G718" s="9">
        <v>1</v>
      </c>
      <c r="H718" s="9">
        <v>8</v>
      </c>
      <c r="I718" s="10">
        <v>0.84</v>
      </c>
      <c r="J718" s="11" t="s">
        <v>241</v>
      </c>
      <c r="K718" s="11" t="s">
        <v>241</v>
      </c>
      <c r="L718" s="11" t="s">
        <v>241</v>
      </c>
      <c r="M718" s="11">
        <v>0.35020000000000001</v>
      </c>
      <c r="N718" s="11">
        <v>0.2676</v>
      </c>
    </row>
    <row r="719" spans="2:14" ht="15" customHeight="1" x14ac:dyDescent="0.25">
      <c r="B719" s="6" t="s">
        <v>1663</v>
      </c>
      <c r="C719" s="7" t="s">
        <v>1664</v>
      </c>
      <c r="D719" s="6" t="s">
        <v>240</v>
      </c>
      <c r="E719" s="6" t="s">
        <v>240</v>
      </c>
      <c r="F719" s="8">
        <v>16.5</v>
      </c>
      <c r="G719" s="9">
        <v>5</v>
      </c>
      <c r="H719" s="9">
        <v>53</v>
      </c>
      <c r="I719" s="10">
        <v>1.1399999999999999</v>
      </c>
      <c r="J719" s="11" t="s">
        <v>241</v>
      </c>
      <c r="K719" s="11">
        <v>0</v>
      </c>
      <c r="L719" s="11">
        <v>1.0248999999999999</v>
      </c>
      <c r="M719" s="11">
        <v>5.1245000000000003</v>
      </c>
      <c r="N719" s="11">
        <v>0.23300000000000001</v>
      </c>
    </row>
    <row r="720" spans="2:14" ht="15" customHeight="1" x14ac:dyDescent="0.25">
      <c r="B720" s="6" t="s">
        <v>1665</v>
      </c>
      <c r="C720" s="7" t="s">
        <v>1666</v>
      </c>
      <c r="D720" s="6" t="s">
        <v>240</v>
      </c>
      <c r="E720" s="6" t="s">
        <v>240</v>
      </c>
      <c r="F720" s="8">
        <v>9</v>
      </c>
      <c r="G720" s="9">
        <v>2</v>
      </c>
      <c r="H720" s="9">
        <v>27</v>
      </c>
      <c r="I720" s="10">
        <v>1.1000000000000001</v>
      </c>
      <c r="J720" s="11" t="s">
        <v>241</v>
      </c>
      <c r="K720" s="11">
        <v>0</v>
      </c>
      <c r="L720" s="11">
        <v>1.1136999999999999</v>
      </c>
      <c r="M720" s="11">
        <v>2.2275</v>
      </c>
      <c r="N720" s="11">
        <v>0.184</v>
      </c>
    </row>
    <row r="721" spans="2:14" ht="15" customHeight="1" x14ac:dyDescent="0.25">
      <c r="B721" s="6" t="s">
        <v>1667</v>
      </c>
      <c r="C721" s="7" t="s">
        <v>1668</v>
      </c>
      <c r="D721" s="6" t="s">
        <v>290</v>
      </c>
      <c r="E721" s="6" t="s">
        <v>240</v>
      </c>
      <c r="F721" s="8">
        <v>5.2</v>
      </c>
      <c r="G721" s="9">
        <v>1</v>
      </c>
      <c r="H721" s="9">
        <v>16</v>
      </c>
      <c r="I721" s="10">
        <v>1.1299999999999999</v>
      </c>
      <c r="J721" s="11">
        <v>0.20219999999999999</v>
      </c>
      <c r="K721" s="11" t="s">
        <v>241</v>
      </c>
      <c r="L721" s="11" t="s">
        <v>241</v>
      </c>
      <c r="M721" s="11">
        <v>1.1592</v>
      </c>
      <c r="N721" s="11">
        <v>0.14829999999999999</v>
      </c>
    </row>
    <row r="722" spans="2:14" ht="15" customHeight="1" x14ac:dyDescent="0.25">
      <c r="B722" s="6" t="s">
        <v>1669</v>
      </c>
      <c r="C722" s="7" t="s">
        <v>1670</v>
      </c>
      <c r="D722" s="6" t="s">
        <v>240</v>
      </c>
      <c r="E722" s="6" t="s">
        <v>240</v>
      </c>
      <c r="F722" s="8">
        <v>1</v>
      </c>
      <c r="G722" s="9">
        <v>1</v>
      </c>
      <c r="H722" s="9">
        <v>1</v>
      </c>
      <c r="I722" s="10">
        <v>1</v>
      </c>
      <c r="J722" s="11" t="s">
        <v>241</v>
      </c>
      <c r="K722" s="11" t="s">
        <v>241</v>
      </c>
      <c r="L722" s="11" t="s">
        <v>241</v>
      </c>
      <c r="M722" s="11">
        <v>0.26119999999999999</v>
      </c>
      <c r="N722" s="11" t="s">
        <v>241</v>
      </c>
    </row>
    <row r="723" spans="2:14" ht="15" customHeight="1" x14ac:dyDescent="0.25">
      <c r="B723" s="6" t="s">
        <v>1671</v>
      </c>
      <c r="C723" s="7" t="s">
        <v>1672</v>
      </c>
      <c r="D723" s="6" t="s">
        <v>240</v>
      </c>
      <c r="E723" s="6" t="s">
        <v>240</v>
      </c>
      <c r="F723" s="8">
        <v>1</v>
      </c>
      <c r="G723" s="9">
        <v>1</v>
      </c>
      <c r="H723" s="9">
        <v>1</v>
      </c>
      <c r="I723" s="10">
        <v>2</v>
      </c>
      <c r="J723" s="11" t="s">
        <v>241</v>
      </c>
      <c r="K723" s="11" t="s">
        <v>241</v>
      </c>
      <c r="L723" s="11" t="s">
        <v>241</v>
      </c>
      <c r="M723" s="11">
        <v>0.1181</v>
      </c>
      <c r="N723" s="11" t="s">
        <v>241</v>
      </c>
    </row>
    <row r="724" spans="2:14" ht="15" customHeight="1" x14ac:dyDescent="0.25">
      <c r="B724" s="6" t="s">
        <v>1673</v>
      </c>
      <c r="C724" s="7" t="s">
        <v>1674</v>
      </c>
      <c r="D724" s="6" t="s">
        <v>240</v>
      </c>
      <c r="E724" s="6" t="s">
        <v>240</v>
      </c>
      <c r="F724" s="8">
        <v>11.7</v>
      </c>
      <c r="G724" s="9">
        <v>4</v>
      </c>
      <c r="H724" s="9">
        <v>40</v>
      </c>
      <c r="I724" s="10">
        <v>1</v>
      </c>
      <c r="J724" s="11" t="s">
        <v>241</v>
      </c>
      <c r="K724" s="11">
        <v>0</v>
      </c>
      <c r="L724" s="11">
        <v>0.87619999999999998</v>
      </c>
      <c r="M724" s="11">
        <v>3.5049000000000001</v>
      </c>
      <c r="N724" s="11">
        <v>0.2049</v>
      </c>
    </row>
    <row r="725" spans="2:14" ht="15" customHeight="1" x14ac:dyDescent="0.25">
      <c r="B725" s="6" t="s">
        <v>1675</v>
      </c>
      <c r="C725" s="7" t="s">
        <v>1676</v>
      </c>
      <c r="D725" s="6" t="s">
        <v>240</v>
      </c>
      <c r="E725" s="6" t="s">
        <v>240</v>
      </c>
      <c r="F725" s="8">
        <v>2.6</v>
      </c>
      <c r="G725" s="9">
        <v>1</v>
      </c>
      <c r="H725" s="9">
        <v>8</v>
      </c>
      <c r="I725" s="10">
        <v>1</v>
      </c>
      <c r="J725" s="11" t="s">
        <v>241</v>
      </c>
      <c r="K725" s="11" t="s">
        <v>241</v>
      </c>
      <c r="L725" s="11" t="s">
        <v>241</v>
      </c>
      <c r="M725" s="11">
        <v>0.55859999999999999</v>
      </c>
      <c r="N725" s="11">
        <v>0.27350000000000002</v>
      </c>
    </row>
    <row r="726" spans="2:14" ht="15" customHeight="1" x14ac:dyDescent="0.25">
      <c r="B726" s="6" t="s">
        <v>1677</v>
      </c>
      <c r="C726" s="7" t="s">
        <v>1678</v>
      </c>
      <c r="D726" s="6" t="s">
        <v>240</v>
      </c>
      <c r="E726" s="6" t="s">
        <v>240</v>
      </c>
      <c r="F726" s="8">
        <v>11.4</v>
      </c>
      <c r="G726" s="9">
        <v>6</v>
      </c>
      <c r="H726" s="9">
        <v>15</v>
      </c>
      <c r="I726" s="10">
        <v>1</v>
      </c>
      <c r="J726" s="11" t="s">
        <v>241</v>
      </c>
      <c r="K726" s="11">
        <v>0</v>
      </c>
      <c r="L726" s="11">
        <v>0.53520000000000001</v>
      </c>
      <c r="M726" s="11">
        <v>3.2109000000000001</v>
      </c>
      <c r="N726" s="11">
        <v>0.23200000000000001</v>
      </c>
    </row>
    <row r="727" spans="2:14" ht="15" customHeight="1" x14ac:dyDescent="0.25">
      <c r="B727" s="6" t="s">
        <v>1679</v>
      </c>
      <c r="C727" s="7" t="s">
        <v>1680</v>
      </c>
      <c r="D727" s="6" t="s">
        <v>240</v>
      </c>
      <c r="E727" s="6" t="s">
        <v>240</v>
      </c>
      <c r="F727" s="8">
        <v>3.1</v>
      </c>
      <c r="G727" s="9">
        <v>1</v>
      </c>
      <c r="H727" s="9">
        <v>9</v>
      </c>
      <c r="I727" s="10">
        <v>1</v>
      </c>
      <c r="J727" s="11" t="s">
        <v>241</v>
      </c>
      <c r="K727" s="11" t="s">
        <v>241</v>
      </c>
      <c r="L727" s="11" t="s">
        <v>241</v>
      </c>
      <c r="M727" s="11">
        <v>0.76100000000000001</v>
      </c>
      <c r="N727" s="11">
        <v>0.27189999999999998</v>
      </c>
    </row>
    <row r="728" spans="2:14" ht="15" customHeight="1" x14ac:dyDescent="0.25">
      <c r="B728" s="6" t="s">
        <v>1681</v>
      </c>
      <c r="C728" s="7" t="s">
        <v>1682</v>
      </c>
      <c r="D728" s="6" t="s">
        <v>240</v>
      </c>
      <c r="E728" s="6" t="s">
        <v>240</v>
      </c>
      <c r="F728" s="8">
        <v>15</v>
      </c>
      <c r="G728" s="9">
        <v>4</v>
      </c>
      <c r="H728" s="9">
        <v>41</v>
      </c>
      <c r="I728" s="10">
        <v>1</v>
      </c>
      <c r="J728" s="11" t="s">
        <v>241</v>
      </c>
      <c r="K728" s="11">
        <v>0</v>
      </c>
      <c r="L728" s="11">
        <v>1.0751999999999999</v>
      </c>
      <c r="M728" s="11">
        <v>4.3007</v>
      </c>
      <c r="N728" s="11">
        <v>0.24129999999999999</v>
      </c>
    </row>
    <row r="729" spans="2:14" ht="15" customHeight="1" x14ac:dyDescent="0.25">
      <c r="B729" s="6" t="s">
        <v>1683</v>
      </c>
      <c r="C729" s="7" t="s">
        <v>1684</v>
      </c>
      <c r="D729" s="6" t="s">
        <v>240</v>
      </c>
      <c r="E729" s="6" t="s">
        <v>240</v>
      </c>
      <c r="F729" s="8">
        <v>3.3</v>
      </c>
      <c r="G729" s="9">
        <v>1</v>
      </c>
      <c r="H729" s="9">
        <v>10</v>
      </c>
      <c r="I729" s="10">
        <v>1</v>
      </c>
      <c r="J729" s="11" t="s">
        <v>241</v>
      </c>
      <c r="K729" s="11" t="s">
        <v>241</v>
      </c>
      <c r="L729" s="11" t="s">
        <v>241</v>
      </c>
      <c r="M729" s="11">
        <v>0.86629999999999996</v>
      </c>
      <c r="N729" s="11">
        <v>0.27189999999999998</v>
      </c>
    </row>
    <row r="730" spans="2:14" ht="15" customHeight="1" x14ac:dyDescent="0.25">
      <c r="B730" s="6" t="s">
        <v>1685</v>
      </c>
      <c r="C730" s="7" t="s">
        <v>1686</v>
      </c>
      <c r="D730" s="6" t="s">
        <v>240</v>
      </c>
      <c r="E730" s="6" t="s">
        <v>240</v>
      </c>
      <c r="F730" s="8">
        <v>7.1</v>
      </c>
      <c r="G730" s="9">
        <v>2</v>
      </c>
      <c r="H730" s="9">
        <v>18</v>
      </c>
      <c r="I730" s="10">
        <v>1</v>
      </c>
      <c r="J730" s="11" t="s">
        <v>241</v>
      </c>
      <c r="K730" s="11">
        <v>0</v>
      </c>
      <c r="L730" s="11">
        <v>0.98419999999999996</v>
      </c>
      <c r="M730" s="11">
        <v>1.9683999999999999</v>
      </c>
      <c r="N730" s="11">
        <v>0.23719999999999999</v>
      </c>
    </row>
    <row r="731" spans="2:14" ht="15" customHeight="1" x14ac:dyDescent="0.25">
      <c r="B731" s="6" t="s">
        <v>1687</v>
      </c>
      <c r="C731" s="7" t="s">
        <v>1688</v>
      </c>
      <c r="D731" s="6" t="s">
        <v>240</v>
      </c>
      <c r="E731" s="6" t="s">
        <v>240</v>
      </c>
      <c r="F731" s="8">
        <v>2.2999999999999998</v>
      </c>
      <c r="G731" s="9">
        <v>1</v>
      </c>
      <c r="H731" s="9">
        <v>7</v>
      </c>
      <c r="I731" s="10">
        <v>1</v>
      </c>
      <c r="J731" s="11" t="s">
        <v>241</v>
      </c>
      <c r="K731" s="11" t="s">
        <v>241</v>
      </c>
      <c r="L731" s="11" t="s">
        <v>241</v>
      </c>
      <c r="M731" s="11">
        <v>0.52490000000000003</v>
      </c>
      <c r="N731" s="11">
        <v>0.2601</v>
      </c>
    </row>
    <row r="732" spans="2:14" ht="15" customHeight="1" x14ac:dyDescent="0.25">
      <c r="B732" s="6" t="s">
        <v>1689</v>
      </c>
      <c r="C732" s="7" t="s">
        <v>1690</v>
      </c>
      <c r="D732" s="6" t="s">
        <v>240</v>
      </c>
      <c r="E732" s="6" t="s">
        <v>240</v>
      </c>
      <c r="F732" s="8">
        <v>7.2</v>
      </c>
      <c r="G732" s="9">
        <v>2</v>
      </c>
      <c r="H732" s="9">
        <v>22</v>
      </c>
      <c r="I732" s="10">
        <v>1.58</v>
      </c>
      <c r="J732" s="11" t="s">
        <v>241</v>
      </c>
      <c r="K732" s="11">
        <v>0</v>
      </c>
      <c r="L732" s="11">
        <v>1.0629</v>
      </c>
      <c r="M732" s="11">
        <v>2.1257999999999999</v>
      </c>
      <c r="N732" s="11">
        <v>0.24740000000000001</v>
      </c>
    </row>
    <row r="733" spans="2:14" ht="15" customHeight="1" x14ac:dyDescent="0.25">
      <c r="B733" s="6" t="s">
        <v>1691</v>
      </c>
      <c r="C733" s="7" t="s">
        <v>1692</v>
      </c>
      <c r="D733" s="6" t="s">
        <v>240</v>
      </c>
      <c r="E733" s="6" t="s">
        <v>240</v>
      </c>
      <c r="F733" s="8">
        <v>2.6</v>
      </c>
      <c r="G733" s="9">
        <v>1</v>
      </c>
      <c r="H733" s="9">
        <v>7</v>
      </c>
      <c r="I733" s="10">
        <v>1.87</v>
      </c>
      <c r="J733" s="11" t="s">
        <v>241</v>
      </c>
      <c r="K733" s="11" t="s">
        <v>241</v>
      </c>
      <c r="L733" s="11" t="s">
        <v>241</v>
      </c>
      <c r="M733" s="11">
        <v>0.64159999999999995</v>
      </c>
      <c r="N733" s="11">
        <v>0.2676</v>
      </c>
    </row>
    <row r="734" spans="2:14" ht="15" customHeight="1" x14ac:dyDescent="0.25">
      <c r="B734" s="6" t="s">
        <v>1693</v>
      </c>
      <c r="C734" s="7" t="s">
        <v>1694</v>
      </c>
      <c r="D734" s="6" t="s">
        <v>240</v>
      </c>
      <c r="E734" s="6" t="s">
        <v>240</v>
      </c>
      <c r="F734" s="8">
        <v>16.399999999999999</v>
      </c>
      <c r="G734" s="9">
        <v>11</v>
      </c>
      <c r="H734" s="9">
        <v>24</v>
      </c>
      <c r="I734" s="10">
        <v>1.17</v>
      </c>
      <c r="J734" s="11" t="s">
        <v>241</v>
      </c>
      <c r="K734" s="11">
        <v>0</v>
      </c>
      <c r="L734" s="11">
        <v>0.51400000000000001</v>
      </c>
      <c r="M734" s="11">
        <v>5.6542000000000003</v>
      </c>
      <c r="N734" s="11">
        <v>0.2833</v>
      </c>
    </row>
    <row r="735" spans="2:14" ht="15" customHeight="1" x14ac:dyDescent="0.25">
      <c r="B735" s="6" t="s">
        <v>1695</v>
      </c>
      <c r="C735" s="7" t="s">
        <v>1696</v>
      </c>
      <c r="D735" s="6" t="s">
        <v>240</v>
      </c>
      <c r="E735" s="6" t="s">
        <v>240</v>
      </c>
      <c r="F735" s="8">
        <v>9.3000000000000007</v>
      </c>
      <c r="G735" s="9">
        <v>3</v>
      </c>
      <c r="H735" s="9">
        <v>28</v>
      </c>
      <c r="I735" s="10">
        <v>1.17</v>
      </c>
      <c r="J735" s="11" t="s">
        <v>241</v>
      </c>
      <c r="K735" s="11">
        <v>0</v>
      </c>
      <c r="L735" s="11">
        <v>1.1220000000000001</v>
      </c>
      <c r="M735" s="11">
        <v>3.3658999999999999</v>
      </c>
      <c r="N735" s="11">
        <v>0.30070000000000002</v>
      </c>
    </row>
    <row r="736" spans="2:14" ht="15" customHeight="1" x14ac:dyDescent="0.25">
      <c r="B736" s="6" t="s">
        <v>1697</v>
      </c>
      <c r="C736" s="7" t="s">
        <v>1698</v>
      </c>
      <c r="D736" s="6" t="s">
        <v>240</v>
      </c>
      <c r="E736" s="6" t="s">
        <v>240</v>
      </c>
      <c r="F736" s="8">
        <v>10.1</v>
      </c>
      <c r="G736" s="9">
        <v>2</v>
      </c>
      <c r="H736" s="9">
        <v>27</v>
      </c>
      <c r="I736" s="10">
        <v>1.64</v>
      </c>
      <c r="J736" s="11" t="s">
        <v>241</v>
      </c>
      <c r="K736" s="11">
        <v>0</v>
      </c>
      <c r="L736" s="11">
        <v>1.2925</v>
      </c>
      <c r="M736" s="11">
        <v>2.5849000000000002</v>
      </c>
      <c r="N736" s="11">
        <v>0.2036</v>
      </c>
    </row>
    <row r="737" spans="2:14" ht="15" customHeight="1" x14ac:dyDescent="0.25">
      <c r="B737" s="6" t="s">
        <v>1699</v>
      </c>
      <c r="C737" s="7" t="s">
        <v>1700</v>
      </c>
      <c r="D737" s="6" t="s">
        <v>240</v>
      </c>
      <c r="E737" s="6" t="s">
        <v>240</v>
      </c>
      <c r="F737" s="8">
        <v>2.8</v>
      </c>
      <c r="G737" s="9">
        <v>1</v>
      </c>
      <c r="H737" s="9">
        <v>8</v>
      </c>
      <c r="I737" s="10">
        <v>1.79</v>
      </c>
      <c r="J737" s="11" t="s">
        <v>241</v>
      </c>
      <c r="K737" s="11" t="s">
        <v>241</v>
      </c>
      <c r="L737" s="11" t="s">
        <v>241</v>
      </c>
      <c r="M737" s="11">
        <v>0.65480000000000005</v>
      </c>
      <c r="N737" s="11">
        <v>0.24779999999999999</v>
      </c>
    </row>
    <row r="738" spans="2:14" ht="15" customHeight="1" x14ac:dyDescent="0.25">
      <c r="B738" s="6" t="s">
        <v>1701</v>
      </c>
      <c r="C738" s="7" t="s">
        <v>1702</v>
      </c>
      <c r="D738" s="6" t="s">
        <v>240</v>
      </c>
      <c r="E738" s="6" t="s">
        <v>240</v>
      </c>
      <c r="F738" s="8">
        <v>10.7</v>
      </c>
      <c r="G738" s="9">
        <v>3</v>
      </c>
      <c r="H738" s="9">
        <v>31</v>
      </c>
      <c r="I738" s="10">
        <v>1</v>
      </c>
      <c r="J738" s="11" t="s">
        <v>241</v>
      </c>
      <c r="K738" s="11">
        <v>0</v>
      </c>
      <c r="L738" s="11">
        <v>1.4276</v>
      </c>
      <c r="M738" s="11">
        <v>4.2828999999999997</v>
      </c>
      <c r="N738" s="11">
        <v>0.24909999999999999</v>
      </c>
    </row>
    <row r="739" spans="2:14" ht="15" customHeight="1" x14ac:dyDescent="0.25">
      <c r="B739" s="6" t="s">
        <v>1703</v>
      </c>
      <c r="C739" s="7" t="s">
        <v>1704</v>
      </c>
      <c r="D739" s="6" t="s">
        <v>240</v>
      </c>
      <c r="E739" s="6" t="s">
        <v>240</v>
      </c>
      <c r="F739" s="8">
        <v>3.4</v>
      </c>
      <c r="G739" s="9">
        <v>1</v>
      </c>
      <c r="H739" s="9">
        <v>9</v>
      </c>
      <c r="I739" s="10">
        <v>1.47</v>
      </c>
      <c r="J739" s="11" t="s">
        <v>241</v>
      </c>
      <c r="K739" s="11" t="s">
        <v>241</v>
      </c>
      <c r="L739" s="11" t="s">
        <v>241</v>
      </c>
      <c r="M739" s="11">
        <v>0.98429999999999995</v>
      </c>
      <c r="N739" s="11">
        <v>0.32619999999999999</v>
      </c>
    </row>
    <row r="740" spans="2:14" ht="15" customHeight="1" x14ac:dyDescent="0.25">
      <c r="B740" s="6" t="s">
        <v>1705</v>
      </c>
      <c r="C740" s="7" t="s">
        <v>1706</v>
      </c>
      <c r="D740" s="6" t="s">
        <v>240</v>
      </c>
      <c r="E740" s="6" t="s">
        <v>240</v>
      </c>
      <c r="F740" s="8">
        <v>3.8</v>
      </c>
      <c r="G740" s="9">
        <v>1</v>
      </c>
      <c r="H740" s="9">
        <v>12</v>
      </c>
      <c r="I740" s="10">
        <v>1</v>
      </c>
      <c r="J740" s="11" t="s">
        <v>241</v>
      </c>
      <c r="K740" s="11" t="s">
        <v>241</v>
      </c>
      <c r="L740" s="11" t="s">
        <v>241</v>
      </c>
      <c r="M740" s="11">
        <v>1.0463</v>
      </c>
      <c r="N740" s="11">
        <v>0.27639999999999998</v>
      </c>
    </row>
    <row r="741" spans="2:14" ht="15" customHeight="1" x14ac:dyDescent="0.25">
      <c r="B741" s="6" t="s">
        <v>1707</v>
      </c>
      <c r="C741" s="7" t="s">
        <v>1708</v>
      </c>
      <c r="D741" s="6" t="s">
        <v>240</v>
      </c>
      <c r="E741" s="6" t="s">
        <v>240</v>
      </c>
      <c r="F741" s="8">
        <v>1.5</v>
      </c>
      <c r="G741" s="9">
        <v>1</v>
      </c>
      <c r="H741" s="9">
        <v>4</v>
      </c>
      <c r="I741" s="10">
        <v>0.8</v>
      </c>
      <c r="J741" s="11" t="s">
        <v>241</v>
      </c>
      <c r="K741" s="11" t="s">
        <v>241</v>
      </c>
      <c r="L741" s="11" t="s">
        <v>241</v>
      </c>
      <c r="M741" s="11">
        <v>0.29670000000000002</v>
      </c>
      <c r="N741" s="11">
        <v>0.18790000000000001</v>
      </c>
    </row>
    <row r="742" spans="2:14" ht="15" customHeight="1" x14ac:dyDescent="0.25">
      <c r="B742" s="6" t="s">
        <v>1709</v>
      </c>
      <c r="C742" s="7" t="s">
        <v>1710</v>
      </c>
      <c r="D742" s="6" t="s">
        <v>240</v>
      </c>
      <c r="E742" s="6" t="s">
        <v>240</v>
      </c>
      <c r="F742" s="8">
        <v>3.2</v>
      </c>
      <c r="G742" s="9">
        <v>1</v>
      </c>
      <c r="H742" s="9">
        <v>9</v>
      </c>
      <c r="I742" s="10">
        <v>1</v>
      </c>
      <c r="J742" s="11" t="s">
        <v>241</v>
      </c>
      <c r="K742" s="11" t="s">
        <v>241</v>
      </c>
      <c r="L742" s="11" t="s">
        <v>241</v>
      </c>
      <c r="M742" s="11">
        <v>0.88349999999999995</v>
      </c>
      <c r="N742" s="11">
        <v>0.3125</v>
      </c>
    </row>
    <row r="743" spans="2:14" ht="15" customHeight="1" x14ac:dyDescent="0.25">
      <c r="B743" s="6" t="s">
        <v>1711</v>
      </c>
      <c r="C743" s="7" t="s">
        <v>1712</v>
      </c>
      <c r="D743" s="6" t="s">
        <v>240</v>
      </c>
      <c r="E743" s="6" t="s">
        <v>240</v>
      </c>
      <c r="F743" s="8">
        <v>1.5</v>
      </c>
      <c r="G743" s="9">
        <v>1</v>
      </c>
      <c r="H743" s="9">
        <v>4</v>
      </c>
      <c r="I743" s="10">
        <v>1</v>
      </c>
      <c r="J743" s="11" t="s">
        <v>241</v>
      </c>
      <c r="K743" s="11" t="s">
        <v>241</v>
      </c>
      <c r="L743" s="11" t="s">
        <v>241</v>
      </c>
      <c r="M743" s="11">
        <v>0.32929999999999998</v>
      </c>
      <c r="N743" s="11">
        <v>0.21079999999999999</v>
      </c>
    </row>
    <row r="744" spans="2:14" ht="15" customHeight="1" x14ac:dyDescent="0.25">
      <c r="B744" s="6" t="s">
        <v>1713</v>
      </c>
      <c r="C744" s="7" t="s">
        <v>1714</v>
      </c>
      <c r="D744" s="6" t="s">
        <v>240</v>
      </c>
      <c r="E744" s="6" t="s">
        <v>240</v>
      </c>
      <c r="F744" s="8">
        <v>7.1</v>
      </c>
      <c r="G744" s="9">
        <v>2</v>
      </c>
      <c r="H744" s="9">
        <v>19</v>
      </c>
      <c r="I744" s="10">
        <v>1</v>
      </c>
      <c r="J744" s="11" t="s">
        <v>241</v>
      </c>
      <c r="K744" s="11">
        <v>0</v>
      </c>
      <c r="L744" s="11">
        <v>0.92520000000000002</v>
      </c>
      <c r="M744" s="11">
        <v>1.8504</v>
      </c>
      <c r="N744" s="11">
        <v>0.26860000000000001</v>
      </c>
    </row>
    <row r="745" spans="2:14" ht="15" customHeight="1" x14ac:dyDescent="0.25">
      <c r="B745" s="6" t="s">
        <v>1715</v>
      </c>
      <c r="C745" s="7" t="s">
        <v>1716</v>
      </c>
      <c r="D745" s="6" t="s">
        <v>240</v>
      </c>
      <c r="E745" s="6" t="s">
        <v>240</v>
      </c>
      <c r="F745" s="8">
        <v>3.2</v>
      </c>
      <c r="G745" s="9">
        <v>1</v>
      </c>
      <c r="H745" s="9">
        <v>10</v>
      </c>
      <c r="I745" s="10">
        <v>1</v>
      </c>
      <c r="J745" s="11" t="s">
        <v>241</v>
      </c>
      <c r="K745" s="11" t="s">
        <v>241</v>
      </c>
      <c r="L745" s="11" t="s">
        <v>241</v>
      </c>
      <c r="M745" s="11">
        <v>0.70409999999999995</v>
      </c>
      <c r="N745" s="11">
        <v>0.22370000000000001</v>
      </c>
    </row>
    <row r="746" spans="2:14" ht="15" customHeight="1" x14ac:dyDescent="0.25">
      <c r="B746" s="6" t="s">
        <v>1717</v>
      </c>
      <c r="C746" s="7" t="s">
        <v>1718</v>
      </c>
      <c r="D746" s="6" t="s">
        <v>240</v>
      </c>
      <c r="E746" s="6" t="s">
        <v>240</v>
      </c>
      <c r="F746" s="8">
        <v>4.5999999999999996</v>
      </c>
      <c r="G746" s="9">
        <v>1</v>
      </c>
      <c r="H746" s="9">
        <v>12</v>
      </c>
      <c r="I746" s="10">
        <v>1</v>
      </c>
      <c r="J746" s="11" t="s">
        <v>241</v>
      </c>
      <c r="K746" s="11" t="s">
        <v>241</v>
      </c>
      <c r="L746" s="11" t="s">
        <v>241</v>
      </c>
      <c r="M746" s="11">
        <v>1.2008000000000001</v>
      </c>
      <c r="N746" s="11">
        <v>0.26419999999999999</v>
      </c>
    </row>
    <row r="747" spans="2:14" ht="15" customHeight="1" x14ac:dyDescent="0.25">
      <c r="B747" s="6" t="s">
        <v>1719</v>
      </c>
      <c r="C747" s="7" t="s">
        <v>1720</v>
      </c>
      <c r="D747" s="6" t="s">
        <v>240</v>
      </c>
      <c r="E747" s="6" t="s">
        <v>240</v>
      </c>
      <c r="F747" s="8">
        <v>5.3</v>
      </c>
      <c r="G747" s="9">
        <v>1</v>
      </c>
      <c r="H747" s="9">
        <v>18</v>
      </c>
      <c r="I747" s="10">
        <v>1</v>
      </c>
      <c r="J747" s="11" t="s">
        <v>241</v>
      </c>
      <c r="K747" s="11" t="s">
        <v>241</v>
      </c>
      <c r="L747" s="11" t="s">
        <v>241</v>
      </c>
      <c r="M747" s="11">
        <v>1.4861</v>
      </c>
      <c r="N747" s="11">
        <v>0.25059999999999999</v>
      </c>
    </row>
    <row r="748" spans="2:14" ht="15" customHeight="1" x14ac:dyDescent="0.25">
      <c r="B748" s="6" t="s">
        <v>1721</v>
      </c>
      <c r="C748" s="7" t="s">
        <v>1722</v>
      </c>
      <c r="D748" s="6" t="s">
        <v>240</v>
      </c>
      <c r="E748" s="6" t="s">
        <v>240</v>
      </c>
      <c r="F748" s="8">
        <v>2.6</v>
      </c>
      <c r="G748" s="9">
        <v>1</v>
      </c>
      <c r="H748" s="9">
        <v>8</v>
      </c>
      <c r="I748" s="10">
        <v>1</v>
      </c>
      <c r="J748" s="11" t="s">
        <v>241</v>
      </c>
      <c r="K748" s="11" t="s">
        <v>241</v>
      </c>
      <c r="L748" s="11" t="s">
        <v>241</v>
      </c>
      <c r="M748" s="11">
        <v>0.60289999999999999</v>
      </c>
      <c r="N748" s="11">
        <v>0.26779999999999998</v>
      </c>
    </row>
    <row r="749" spans="2:14" ht="15" customHeight="1" x14ac:dyDescent="0.25">
      <c r="B749" s="6" t="s">
        <v>1723</v>
      </c>
      <c r="C749" s="7" t="s">
        <v>1724</v>
      </c>
      <c r="D749" s="6" t="s">
        <v>240</v>
      </c>
      <c r="E749" s="6" t="s">
        <v>240</v>
      </c>
      <c r="F749" s="8">
        <v>27.2</v>
      </c>
      <c r="G749" s="9">
        <v>8</v>
      </c>
      <c r="H749" s="9">
        <v>81</v>
      </c>
      <c r="I749" s="10">
        <v>1</v>
      </c>
      <c r="J749" s="11" t="s">
        <v>241</v>
      </c>
      <c r="K749" s="11">
        <v>4.2885</v>
      </c>
      <c r="L749" s="11">
        <v>2.5228999999999999</v>
      </c>
      <c r="M749" s="11">
        <v>24.471699999999998</v>
      </c>
      <c r="N749" s="11">
        <v>0.35249999999999998</v>
      </c>
    </row>
    <row r="750" spans="2:14" ht="15" customHeight="1" x14ac:dyDescent="0.25">
      <c r="B750" s="6" t="s">
        <v>1725</v>
      </c>
      <c r="C750" s="7" t="s">
        <v>1726</v>
      </c>
      <c r="D750" s="6" t="s">
        <v>240</v>
      </c>
      <c r="E750" s="6" t="s">
        <v>240</v>
      </c>
      <c r="F750" s="8">
        <v>16.899999999999999</v>
      </c>
      <c r="G750" s="9">
        <v>4</v>
      </c>
      <c r="H750" s="9">
        <v>45</v>
      </c>
      <c r="I750" s="10">
        <v>1</v>
      </c>
      <c r="J750" s="11" t="s">
        <v>241</v>
      </c>
      <c r="K750" s="11">
        <v>2.5760000000000001</v>
      </c>
      <c r="L750" s="11">
        <v>3.2831000000000001</v>
      </c>
      <c r="M750" s="11">
        <v>15.708600000000001</v>
      </c>
      <c r="N750" s="11">
        <v>0.38840000000000002</v>
      </c>
    </row>
    <row r="751" spans="2:14" ht="15" customHeight="1" x14ac:dyDescent="0.25">
      <c r="B751" s="6" t="s">
        <v>1727</v>
      </c>
      <c r="C751" s="7" t="s">
        <v>1728</v>
      </c>
      <c r="D751" s="6" t="s">
        <v>240</v>
      </c>
      <c r="E751" s="6" t="s">
        <v>240</v>
      </c>
      <c r="F751" s="8">
        <v>8.6</v>
      </c>
      <c r="G751" s="9">
        <v>2</v>
      </c>
      <c r="H751" s="9">
        <v>24</v>
      </c>
      <c r="I751" s="10">
        <v>1</v>
      </c>
      <c r="J751" s="11" t="s">
        <v>241</v>
      </c>
      <c r="K751" s="11">
        <v>1.4313</v>
      </c>
      <c r="L751" s="11">
        <v>3.8149999999999999</v>
      </c>
      <c r="M751" s="11">
        <v>9.0612999999999992</v>
      </c>
      <c r="N751" s="11">
        <v>0.38629999999999998</v>
      </c>
    </row>
    <row r="752" spans="2:14" ht="15" customHeight="1" x14ac:dyDescent="0.25">
      <c r="B752" s="6" t="s">
        <v>1729</v>
      </c>
      <c r="C752" s="7" t="s">
        <v>1730</v>
      </c>
      <c r="D752" s="6" t="s">
        <v>240</v>
      </c>
      <c r="E752" s="6" t="s">
        <v>240</v>
      </c>
      <c r="F752" s="8">
        <v>20.3</v>
      </c>
      <c r="G752" s="9">
        <v>6</v>
      </c>
      <c r="H752" s="9">
        <v>55</v>
      </c>
      <c r="I752" s="10">
        <v>1</v>
      </c>
      <c r="J752" s="11" t="s">
        <v>241</v>
      </c>
      <c r="K752" s="11">
        <v>2.6046999999999998</v>
      </c>
      <c r="L752" s="11">
        <v>1.5775999999999999</v>
      </c>
      <c r="M752" s="11">
        <v>12.070600000000001</v>
      </c>
      <c r="N752" s="11">
        <v>0.41920000000000002</v>
      </c>
    </row>
    <row r="753" spans="2:14" ht="15" customHeight="1" x14ac:dyDescent="0.25">
      <c r="B753" s="6" t="s">
        <v>1731</v>
      </c>
      <c r="C753" s="7" t="s">
        <v>1732</v>
      </c>
      <c r="D753" s="6" t="s">
        <v>240</v>
      </c>
      <c r="E753" s="6" t="s">
        <v>240</v>
      </c>
      <c r="F753" s="8">
        <v>10.9</v>
      </c>
      <c r="G753" s="9">
        <v>3</v>
      </c>
      <c r="H753" s="9">
        <v>28</v>
      </c>
      <c r="I753" s="10">
        <v>1</v>
      </c>
      <c r="J753" s="11" t="s">
        <v>241</v>
      </c>
      <c r="K753" s="11">
        <v>1.3357000000000001</v>
      </c>
      <c r="L753" s="11">
        <v>1.212</v>
      </c>
      <c r="M753" s="11">
        <v>4.9717000000000002</v>
      </c>
      <c r="N753" s="11">
        <v>0.25919999999999999</v>
      </c>
    </row>
    <row r="754" spans="2:14" ht="15" customHeight="1" x14ac:dyDescent="0.25">
      <c r="B754" s="6" t="s">
        <v>1733</v>
      </c>
      <c r="C754" s="7" t="s">
        <v>1734</v>
      </c>
      <c r="D754" s="6" t="s">
        <v>240</v>
      </c>
      <c r="E754" s="6" t="s">
        <v>240</v>
      </c>
      <c r="F754" s="8">
        <v>9.1</v>
      </c>
      <c r="G754" s="9">
        <v>3</v>
      </c>
      <c r="H754" s="9">
        <v>30</v>
      </c>
      <c r="I754" s="10">
        <v>1</v>
      </c>
      <c r="J754" s="11" t="s">
        <v>241</v>
      </c>
      <c r="K754" s="11">
        <v>1.3192999999999999</v>
      </c>
      <c r="L754" s="11">
        <v>1.4505999999999999</v>
      </c>
      <c r="M754" s="11">
        <v>5.6711</v>
      </c>
      <c r="N754" s="11">
        <v>0.44180000000000003</v>
      </c>
    </row>
    <row r="755" spans="2:14" ht="15" customHeight="1" x14ac:dyDescent="0.25">
      <c r="B755" s="6" t="s">
        <v>1735</v>
      </c>
      <c r="C755" s="7" t="s">
        <v>1736</v>
      </c>
      <c r="D755" s="6" t="s">
        <v>240</v>
      </c>
      <c r="E755" s="6" t="s">
        <v>240</v>
      </c>
      <c r="F755" s="8">
        <v>17.8</v>
      </c>
      <c r="G755" s="9">
        <v>11</v>
      </c>
      <c r="H755" s="9">
        <v>25</v>
      </c>
      <c r="I755" s="10">
        <v>1</v>
      </c>
      <c r="J755" s="11" t="s">
        <v>241</v>
      </c>
      <c r="K755" s="11">
        <v>3.3231000000000002</v>
      </c>
      <c r="L755" s="11">
        <v>0.6502</v>
      </c>
      <c r="M755" s="11">
        <v>10.475</v>
      </c>
      <c r="N755" s="11">
        <v>0.34250000000000003</v>
      </c>
    </row>
    <row r="756" spans="2:14" ht="15" customHeight="1" x14ac:dyDescent="0.25">
      <c r="B756" s="6" t="s">
        <v>1737</v>
      </c>
      <c r="C756" s="7" t="s">
        <v>1738</v>
      </c>
      <c r="D756" s="6" t="s">
        <v>240</v>
      </c>
      <c r="E756" s="6" t="s">
        <v>240</v>
      </c>
      <c r="F756" s="8">
        <v>8.6</v>
      </c>
      <c r="G756" s="9">
        <v>2</v>
      </c>
      <c r="H756" s="9">
        <v>24</v>
      </c>
      <c r="I756" s="10">
        <v>1</v>
      </c>
      <c r="J756" s="11" t="s">
        <v>241</v>
      </c>
      <c r="K756" s="11">
        <v>1.0065</v>
      </c>
      <c r="L756" s="11">
        <v>2.0356000000000001</v>
      </c>
      <c r="M756" s="11">
        <v>5.0777000000000001</v>
      </c>
      <c r="N756" s="11">
        <v>0.40050000000000002</v>
      </c>
    </row>
    <row r="757" spans="2:14" ht="15" customHeight="1" x14ac:dyDescent="0.25">
      <c r="B757" s="6" t="s">
        <v>1739</v>
      </c>
      <c r="C757" s="7" t="s">
        <v>1740</v>
      </c>
      <c r="D757" s="6" t="s">
        <v>240</v>
      </c>
      <c r="E757" s="6" t="s">
        <v>240</v>
      </c>
      <c r="F757" s="8">
        <v>1.6</v>
      </c>
      <c r="G757" s="9">
        <v>1</v>
      </c>
      <c r="H757" s="9">
        <v>4</v>
      </c>
      <c r="I757" s="10">
        <v>1</v>
      </c>
      <c r="J757" s="11" t="s">
        <v>241</v>
      </c>
      <c r="K757" s="11" t="s">
        <v>241</v>
      </c>
      <c r="L757" s="11" t="s">
        <v>241</v>
      </c>
      <c r="M757" s="11">
        <v>1.0431999999999999</v>
      </c>
      <c r="N757" s="11" t="s">
        <v>241</v>
      </c>
    </row>
    <row r="758" spans="2:14" ht="15" customHeight="1" x14ac:dyDescent="0.25">
      <c r="B758" s="6" t="s">
        <v>1741</v>
      </c>
      <c r="C758" s="7" t="s">
        <v>1742</v>
      </c>
      <c r="D758" s="6" t="s">
        <v>240</v>
      </c>
      <c r="E758" s="6" t="s">
        <v>240</v>
      </c>
      <c r="F758" s="8">
        <v>10.5</v>
      </c>
      <c r="G758" s="9">
        <v>3</v>
      </c>
      <c r="H758" s="9">
        <v>32</v>
      </c>
      <c r="I758" s="10">
        <v>1.33</v>
      </c>
      <c r="J758" s="11" t="s">
        <v>241</v>
      </c>
      <c r="K758" s="11">
        <v>0</v>
      </c>
      <c r="L758" s="11">
        <v>1.1742999999999999</v>
      </c>
      <c r="M758" s="11">
        <v>3.5228000000000002</v>
      </c>
      <c r="N758" s="11">
        <v>0.26229999999999998</v>
      </c>
    </row>
    <row r="759" spans="2:14" ht="15" customHeight="1" x14ac:dyDescent="0.25">
      <c r="B759" s="6" t="s">
        <v>1743</v>
      </c>
      <c r="C759" s="7" t="s">
        <v>1744</v>
      </c>
      <c r="D759" s="6" t="s">
        <v>240</v>
      </c>
      <c r="E759" s="6" t="s">
        <v>240</v>
      </c>
      <c r="F759" s="8">
        <v>5.0999999999999996</v>
      </c>
      <c r="G759" s="9">
        <v>1</v>
      </c>
      <c r="H759" s="9">
        <v>15</v>
      </c>
      <c r="I759" s="10">
        <v>1.4</v>
      </c>
      <c r="J759" s="11" t="s">
        <v>241</v>
      </c>
      <c r="K759" s="11" t="s">
        <v>241</v>
      </c>
      <c r="L759" s="11" t="s">
        <v>241</v>
      </c>
      <c r="M759" s="11">
        <v>1.4175</v>
      </c>
      <c r="N759" s="11">
        <v>0.26650000000000001</v>
      </c>
    </row>
    <row r="760" spans="2:14" ht="15" customHeight="1" x14ac:dyDescent="0.25">
      <c r="B760" s="6" t="s">
        <v>1745</v>
      </c>
      <c r="C760" s="7" t="s">
        <v>1746</v>
      </c>
      <c r="D760" s="6" t="s">
        <v>240</v>
      </c>
      <c r="E760" s="6" t="s">
        <v>240</v>
      </c>
      <c r="F760" s="8">
        <v>7.5</v>
      </c>
      <c r="G760" s="9">
        <v>2</v>
      </c>
      <c r="H760" s="9">
        <v>20</v>
      </c>
      <c r="I760" s="10">
        <v>1</v>
      </c>
      <c r="J760" s="11" t="s">
        <v>241</v>
      </c>
      <c r="K760" s="11">
        <v>0.5323</v>
      </c>
      <c r="L760" s="11">
        <v>2.2012999999999998</v>
      </c>
      <c r="M760" s="11">
        <v>4.9348000000000001</v>
      </c>
      <c r="N760" s="11">
        <v>0.43940000000000001</v>
      </c>
    </row>
    <row r="761" spans="2:14" ht="15" customHeight="1" x14ac:dyDescent="0.25">
      <c r="B761" s="6" t="s">
        <v>1747</v>
      </c>
      <c r="C761" s="7" t="s">
        <v>1748</v>
      </c>
      <c r="D761" s="6" t="s">
        <v>240</v>
      </c>
      <c r="E761" s="6" t="s">
        <v>240</v>
      </c>
      <c r="F761" s="8">
        <v>1.6</v>
      </c>
      <c r="G761" s="9">
        <v>1</v>
      </c>
      <c r="H761" s="9">
        <v>5</v>
      </c>
      <c r="I761" s="10">
        <v>1.33</v>
      </c>
      <c r="J761" s="11" t="s">
        <v>241</v>
      </c>
      <c r="K761" s="11" t="s">
        <v>241</v>
      </c>
      <c r="L761" s="11" t="s">
        <v>241</v>
      </c>
      <c r="M761" s="11">
        <v>0.98709999999999998</v>
      </c>
      <c r="N761" s="11">
        <v>0.53510000000000002</v>
      </c>
    </row>
    <row r="762" spans="2:14" ht="15" customHeight="1" x14ac:dyDescent="0.25">
      <c r="B762" s="6" t="s">
        <v>1749</v>
      </c>
      <c r="C762" s="7" t="s">
        <v>1750</v>
      </c>
      <c r="D762" s="6" t="s">
        <v>240</v>
      </c>
      <c r="E762" s="6" t="s">
        <v>240</v>
      </c>
      <c r="F762" s="8">
        <v>10.199999999999999</v>
      </c>
      <c r="G762" s="9">
        <v>3</v>
      </c>
      <c r="H762" s="9">
        <v>33</v>
      </c>
      <c r="I762" s="10">
        <v>1</v>
      </c>
      <c r="J762" s="11" t="s">
        <v>241</v>
      </c>
      <c r="K762" s="11">
        <v>0.6089</v>
      </c>
      <c r="L762" s="11">
        <v>1.1200000000000001</v>
      </c>
      <c r="M762" s="11">
        <v>3.9687999999999999</v>
      </c>
      <c r="N762" s="11">
        <v>0.23830000000000001</v>
      </c>
    </row>
    <row r="763" spans="2:14" ht="15" customHeight="1" x14ac:dyDescent="0.25">
      <c r="B763" s="6" t="s">
        <v>1751</v>
      </c>
      <c r="C763" s="7" t="s">
        <v>1752</v>
      </c>
      <c r="D763" s="6" t="s">
        <v>290</v>
      </c>
      <c r="E763" s="6" t="s">
        <v>240</v>
      </c>
      <c r="F763" s="8">
        <v>2.5</v>
      </c>
      <c r="G763" s="9">
        <v>1</v>
      </c>
      <c r="H763" s="9">
        <v>7</v>
      </c>
      <c r="I763" s="10">
        <v>1</v>
      </c>
      <c r="J763" s="11">
        <v>0.52780000000000005</v>
      </c>
      <c r="K763" s="11" t="s">
        <v>241</v>
      </c>
      <c r="L763" s="11" t="s">
        <v>241</v>
      </c>
      <c r="M763" s="11">
        <v>1.0817000000000001</v>
      </c>
      <c r="N763" s="11">
        <v>0.2175</v>
      </c>
    </row>
    <row r="764" spans="2:14" ht="15" customHeight="1" x14ac:dyDescent="0.25">
      <c r="B764" s="6" t="s">
        <v>1753</v>
      </c>
      <c r="C764" s="7" t="s">
        <v>1754</v>
      </c>
      <c r="D764" s="6" t="s">
        <v>240</v>
      </c>
      <c r="E764" s="6" t="s">
        <v>240</v>
      </c>
      <c r="F764" s="8">
        <v>2.9</v>
      </c>
      <c r="G764" s="9">
        <v>1</v>
      </c>
      <c r="H764" s="9">
        <v>9</v>
      </c>
      <c r="I764" s="10">
        <v>1.23</v>
      </c>
      <c r="J764" s="11" t="s">
        <v>241</v>
      </c>
      <c r="K764" s="11" t="s">
        <v>241</v>
      </c>
      <c r="L764" s="11" t="s">
        <v>241</v>
      </c>
      <c r="M764" s="11">
        <v>1.4432</v>
      </c>
      <c r="N764" s="11">
        <v>0.2767</v>
      </c>
    </row>
    <row r="765" spans="2:14" ht="15" customHeight="1" x14ac:dyDescent="0.25">
      <c r="B765" s="6" t="s">
        <v>1755</v>
      </c>
      <c r="C765" s="7" t="s">
        <v>1756</v>
      </c>
      <c r="D765" s="6" t="s">
        <v>240</v>
      </c>
      <c r="E765" s="6" t="s">
        <v>240</v>
      </c>
      <c r="F765" s="8">
        <v>1.2</v>
      </c>
      <c r="G765" s="9">
        <v>1</v>
      </c>
      <c r="H765" s="9">
        <v>4</v>
      </c>
      <c r="I765" s="10">
        <v>1.08</v>
      </c>
      <c r="J765" s="11" t="s">
        <v>241</v>
      </c>
      <c r="K765" s="11" t="s">
        <v>241</v>
      </c>
      <c r="L765" s="11" t="s">
        <v>241</v>
      </c>
      <c r="M765" s="11">
        <v>0.58320000000000005</v>
      </c>
      <c r="N765" s="11">
        <v>0.2203</v>
      </c>
    </row>
    <row r="766" spans="2:14" ht="15" customHeight="1" x14ac:dyDescent="0.25">
      <c r="B766" s="6" t="s">
        <v>1757</v>
      </c>
      <c r="C766" s="7" t="s">
        <v>1758</v>
      </c>
      <c r="D766" s="6" t="s">
        <v>240</v>
      </c>
      <c r="E766" s="6" t="s">
        <v>240</v>
      </c>
      <c r="F766" s="8">
        <v>9.9</v>
      </c>
      <c r="G766" s="9">
        <v>3</v>
      </c>
      <c r="H766" s="9">
        <v>28</v>
      </c>
      <c r="I766" s="10">
        <v>1.22</v>
      </c>
      <c r="J766" s="11" t="s">
        <v>241</v>
      </c>
      <c r="K766" s="11">
        <v>0.70509999999999995</v>
      </c>
      <c r="L766" s="11">
        <v>1.1146</v>
      </c>
      <c r="M766" s="11">
        <v>4.0488999999999997</v>
      </c>
      <c r="N766" s="11">
        <v>0.24390000000000001</v>
      </c>
    </row>
    <row r="767" spans="2:14" ht="15" customHeight="1" x14ac:dyDescent="0.25">
      <c r="B767" s="6" t="s">
        <v>1759</v>
      </c>
      <c r="C767" s="7" t="s">
        <v>1760</v>
      </c>
      <c r="D767" s="6" t="s">
        <v>240</v>
      </c>
      <c r="E767" s="6" t="s">
        <v>240</v>
      </c>
      <c r="F767" s="8">
        <v>3.4</v>
      </c>
      <c r="G767" s="9">
        <v>1</v>
      </c>
      <c r="H767" s="9">
        <v>11</v>
      </c>
      <c r="I767" s="10">
        <v>1</v>
      </c>
      <c r="J767" s="11" t="s">
        <v>241</v>
      </c>
      <c r="K767" s="11" t="s">
        <v>241</v>
      </c>
      <c r="L767" s="11" t="s">
        <v>241</v>
      </c>
      <c r="M767" s="11">
        <v>1.4297</v>
      </c>
      <c r="N767" s="11">
        <v>0.20530000000000001</v>
      </c>
    </row>
    <row r="768" spans="2:14" ht="15" customHeight="1" x14ac:dyDescent="0.25">
      <c r="B768" s="6" t="s">
        <v>1761</v>
      </c>
      <c r="C768" s="7" t="s">
        <v>1762</v>
      </c>
      <c r="D768" s="6" t="s">
        <v>240</v>
      </c>
      <c r="E768" s="6" t="s">
        <v>240</v>
      </c>
      <c r="F768" s="8">
        <v>1.6</v>
      </c>
      <c r="G768" s="9">
        <v>1</v>
      </c>
      <c r="H768" s="9">
        <v>5</v>
      </c>
      <c r="I768" s="10">
        <v>1.08</v>
      </c>
      <c r="J768" s="11" t="s">
        <v>241</v>
      </c>
      <c r="K768" s="11" t="s">
        <v>241</v>
      </c>
      <c r="L768" s="11" t="s">
        <v>241</v>
      </c>
      <c r="M768" s="11">
        <v>0.745</v>
      </c>
      <c r="N768" s="11">
        <v>0.27539999999999998</v>
      </c>
    </row>
    <row r="769" spans="2:14" ht="15" customHeight="1" x14ac:dyDescent="0.25">
      <c r="B769" s="6" t="s">
        <v>1763</v>
      </c>
      <c r="C769" s="7" t="s">
        <v>1764</v>
      </c>
      <c r="D769" s="6" t="s">
        <v>240</v>
      </c>
      <c r="E769" s="6" t="s">
        <v>240</v>
      </c>
      <c r="F769" s="8">
        <v>22.8</v>
      </c>
      <c r="G769" s="9">
        <v>6</v>
      </c>
      <c r="H769" s="9">
        <v>58</v>
      </c>
      <c r="I769" s="10">
        <v>1</v>
      </c>
      <c r="J769" s="11" t="s">
        <v>241</v>
      </c>
      <c r="K769" s="11">
        <v>0.73609999999999998</v>
      </c>
      <c r="L769" s="11">
        <v>1.2414000000000001</v>
      </c>
      <c r="M769" s="11">
        <v>8.1843000000000004</v>
      </c>
      <c r="N769" s="11">
        <v>0.29199999999999998</v>
      </c>
    </row>
    <row r="770" spans="2:14" ht="15" customHeight="1" x14ac:dyDescent="0.25">
      <c r="B770" s="6" t="s">
        <v>1765</v>
      </c>
      <c r="C770" s="7" t="s">
        <v>1766</v>
      </c>
      <c r="D770" s="6" t="s">
        <v>240</v>
      </c>
      <c r="E770" s="6" t="s">
        <v>240</v>
      </c>
      <c r="F770" s="8">
        <v>9</v>
      </c>
      <c r="G770" s="9">
        <v>2</v>
      </c>
      <c r="H770" s="9">
        <v>27</v>
      </c>
      <c r="I770" s="10">
        <v>1</v>
      </c>
      <c r="J770" s="11" t="s">
        <v>241</v>
      </c>
      <c r="K770" s="11">
        <v>0.52029999999999998</v>
      </c>
      <c r="L770" s="11">
        <v>1.4783999999999999</v>
      </c>
      <c r="M770" s="11">
        <v>3.4771000000000001</v>
      </c>
      <c r="N770" s="11">
        <v>0.24759999999999999</v>
      </c>
    </row>
    <row r="771" spans="2:14" ht="15" customHeight="1" x14ac:dyDescent="0.25">
      <c r="B771" s="6" t="s">
        <v>1767</v>
      </c>
      <c r="C771" s="7" t="s">
        <v>1768</v>
      </c>
      <c r="D771" s="6" t="s">
        <v>240</v>
      </c>
      <c r="E771" s="6" t="s">
        <v>240</v>
      </c>
      <c r="F771" s="8">
        <v>3.7</v>
      </c>
      <c r="G771" s="9">
        <v>1</v>
      </c>
      <c r="H771" s="9">
        <v>12</v>
      </c>
      <c r="I771" s="10">
        <v>1</v>
      </c>
      <c r="J771" s="11" t="s">
        <v>241</v>
      </c>
      <c r="K771" s="11" t="s">
        <v>241</v>
      </c>
      <c r="L771" s="11" t="s">
        <v>241</v>
      </c>
      <c r="M771" s="11">
        <v>1.5435000000000001</v>
      </c>
      <c r="N771" s="11">
        <v>0.27910000000000001</v>
      </c>
    </row>
    <row r="772" spans="2:14" ht="15" customHeight="1" x14ac:dyDescent="0.25">
      <c r="B772" s="6" t="s">
        <v>1769</v>
      </c>
      <c r="C772" s="7" t="s">
        <v>1770</v>
      </c>
      <c r="D772" s="6" t="s">
        <v>240</v>
      </c>
      <c r="E772" s="6" t="s">
        <v>240</v>
      </c>
      <c r="F772" s="8">
        <v>5</v>
      </c>
      <c r="G772" s="9">
        <v>1</v>
      </c>
      <c r="H772" s="9">
        <v>16</v>
      </c>
      <c r="I772" s="10">
        <v>1</v>
      </c>
      <c r="J772" s="11" t="s">
        <v>241</v>
      </c>
      <c r="K772" s="11" t="s">
        <v>241</v>
      </c>
      <c r="L772" s="11" t="s">
        <v>241</v>
      </c>
      <c r="M772" s="11">
        <v>3.1663000000000001</v>
      </c>
      <c r="N772" s="11">
        <v>0.3256</v>
      </c>
    </row>
    <row r="773" spans="2:14" ht="15" customHeight="1" x14ac:dyDescent="0.25">
      <c r="B773" s="6" t="s">
        <v>1771</v>
      </c>
      <c r="C773" s="7" t="s">
        <v>1772</v>
      </c>
      <c r="D773" s="6" t="s">
        <v>240</v>
      </c>
      <c r="E773" s="6" t="s">
        <v>240</v>
      </c>
      <c r="F773" s="8">
        <v>2.2999999999999998</v>
      </c>
      <c r="G773" s="9">
        <v>1</v>
      </c>
      <c r="H773" s="9">
        <v>7</v>
      </c>
      <c r="I773" s="10">
        <v>1</v>
      </c>
      <c r="J773" s="11" t="s">
        <v>241</v>
      </c>
      <c r="K773" s="11" t="s">
        <v>241</v>
      </c>
      <c r="L773" s="11" t="s">
        <v>241</v>
      </c>
      <c r="M773" s="11">
        <v>1.8333999999999999</v>
      </c>
      <c r="N773" s="11">
        <v>0.46160000000000001</v>
      </c>
    </row>
    <row r="774" spans="2:14" ht="15" customHeight="1" x14ac:dyDescent="0.25">
      <c r="B774" s="6" t="s">
        <v>1773</v>
      </c>
      <c r="C774" s="7" t="s">
        <v>1774</v>
      </c>
      <c r="D774" s="6" t="s">
        <v>290</v>
      </c>
      <c r="E774" s="6" t="s">
        <v>240</v>
      </c>
      <c r="F774" s="8">
        <v>4.5999999999999996</v>
      </c>
      <c r="G774" s="9">
        <v>1</v>
      </c>
      <c r="H774" s="9">
        <v>13</v>
      </c>
      <c r="I774" s="10">
        <v>1</v>
      </c>
      <c r="J774" s="11">
        <v>0.188</v>
      </c>
      <c r="K774" s="11" t="s">
        <v>241</v>
      </c>
      <c r="L774" s="11" t="s">
        <v>241</v>
      </c>
      <c r="M774" s="11">
        <v>1.0569</v>
      </c>
      <c r="N774" s="11">
        <v>0.21210000000000001</v>
      </c>
    </row>
    <row r="775" spans="2:14" ht="15" customHeight="1" x14ac:dyDescent="0.25">
      <c r="B775" s="6" t="s">
        <v>1775</v>
      </c>
      <c r="C775" s="7" t="s">
        <v>1776</v>
      </c>
      <c r="D775" s="6" t="s">
        <v>240</v>
      </c>
      <c r="E775" s="6" t="s">
        <v>240</v>
      </c>
      <c r="F775" s="8">
        <v>1.2</v>
      </c>
      <c r="G775" s="9">
        <v>1</v>
      </c>
      <c r="H775" s="9">
        <v>4</v>
      </c>
      <c r="I775" s="10">
        <v>1.62</v>
      </c>
      <c r="J775" s="11" t="s">
        <v>241</v>
      </c>
      <c r="K775" s="11" t="s">
        <v>241</v>
      </c>
      <c r="L775" s="11" t="s">
        <v>241</v>
      </c>
      <c r="M775" s="11">
        <v>0.21820000000000001</v>
      </c>
      <c r="N775" s="11">
        <v>0.1638</v>
      </c>
    </row>
    <row r="776" spans="2:14" ht="15" customHeight="1" x14ac:dyDescent="0.25">
      <c r="B776" s="6" t="s">
        <v>1777</v>
      </c>
      <c r="C776" s="7" t="s">
        <v>1778</v>
      </c>
      <c r="D776" s="6" t="s">
        <v>240</v>
      </c>
      <c r="E776" s="6" t="s">
        <v>240</v>
      </c>
      <c r="F776" s="8">
        <v>1.7</v>
      </c>
      <c r="G776" s="9">
        <v>1</v>
      </c>
      <c r="H776" s="9">
        <v>5</v>
      </c>
      <c r="I776" s="10">
        <v>1.1399999999999999</v>
      </c>
      <c r="J776" s="11" t="s">
        <v>241</v>
      </c>
      <c r="K776" s="11" t="s">
        <v>241</v>
      </c>
      <c r="L776" s="11" t="s">
        <v>241</v>
      </c>
      <c r="M776" s="11">
        <v>0.45119999999999999</v>
      </c>
      <c r="N776" s="11">
        <v>0.25169999999999998</v>
      </c>
    </row>
    <row r="777" spans="2:14" ht="15" customHeight="1" x14ac:dyDescent="0.25">
      <c r="B777" s="6" t="s">
        <v>1779</v>
      </c>
      <c r="C777" s="7" t="s">
        <v>1780</v>
      </c>
      <c r="D777" s="6" t="s">
        <v>240</v>
      </c>
      <c r="E777" s="6" t="s">
        <v>240</v>
      </c>
      <c r="F777" s="8">
        <v>1</v>
      </c>
      <c r="G777" s="9">
        <v>1</v>
      </c>
      <c r="H777" s="9">
        <v>3</v>
      </c>
      <c r="I777" s="10">
        <v>1</v>
      </c>
      <c r="J777" s="11" t="s">
        <v>241</v>
      </c>
      <c r="K777" s="11" t="s">
        <v>241</v>
      </c>
      <c r="L777" s="11" t="s">
        <v>241</v>
      </c>
      <c r="M777" s="11">
        <v>0.1258</v>
      </c>
      <c r="N777" s="11">
        <v>9.4100000000000003E-2</v>
      </c>
    </row>
    <row r="778" spans="2:14" ht="15" customHeight="1" x14ac:dyDescent="0.25">
      <c r="B778" s="6" t="s">
        <v>1781</v>
      </c>
      <c r="C778" s="7" t="s">
        <v>1782</v>
      </c>
      <c r="D778" s="6" t="s">
        <v>290</v>
      </c>
      <c r="E778" s="6" t="s">
        <v>240</v>
      </c>
      <c r="F778" s="8">
        <v>3.6</v>
      </c>
      <c r="G778" s="9">
        <v>1</v>
      </c>
      <c r="H778" s="9">
        <v>11</v>
      </c>
      <c r="I778" s="10">
        <v>1.1599999999999999</v>
      </c>
      <c r="J778" s="11">
        <v>0.1729</v>
      </c>
      <c r="K778" s="11" t="s">
        <v>241</v>
      </c>
      <c r="L778" s="11" t="s">
        <v>241</v>
      </c>
      <c r="M778" s="11">
        <v>1.0939000000000001</v>
      </c>
      <c r="N778" s="11">
        <v>0.24779999999999999</v>
      </c>
    </row>
    <row r="779" spans="2:14" ht="15" customHeight="1" x14ac:dyDescent="0.25">
      <c r="B779" s="6" t="s">
        <v>1783</v>
      </c>
      <c r="C779" s="7" t="s">
        <v>1784</v>
      </c>
      <c r="D779" s="6" t="s">
        <v>240</v>
      </c>
      <c r="E779" s="6" t="s">
        <v>240</v>
      </c>
      <c r="F779" s="8">
        <v>1.2</v>
      </c>
      <c r="G779" s="9">
        <v>1</v>
      </c>
      <c r="H779" s="9">
        <v>4</v>
      </c>
      <c r="I779" s="10">
        <v>1.29</v>
      </c>
      <c r="J779" s="11" t="s">
        <v>241</v>
      </c>
      <c r="K779" s="11" t="s">
        <v>241</v>
      </c>
      <c r="L779" s="11" t="s">
        <v>241</v>
      </c>
      <c r="M779" s="11">
        <v>0.25090000000000001</v>
      </c>
      <c r="N779" s="11">
        <v>0.1928</v>
      </c>
    </row>
    <row r="780" spans="2:14" ht="15" customHeight="1" x14ac:dyDescent="0.25">
      <c r="B780" s="6" t="s">
        <v>1785</v>
      </c>
      <c r="C780" s="7" t="s">
        <v>1786</v>
      </c>
      <c r="D780" s="6" t="s">
        <v>290</v>
      </c>
      <c r="E780" s="6" t="s">
        <v>240</v>
      </c>
      <c r="F780" s="8">
        <v>5.2</v>
      </c>
      <c r="G780" s="9">
        <v>1</v>
      </c>
      <c r="H780" s="9">
        <v>16</v>
      </c>
      <c r="I780" s="10">
        <v>1.42</v>
      </c>
      <c r="J780" s="11">
        <v>0.2717</v>
      </c>
      <c r="K780" s="11" t="s">
        <v>241</v>
      </c>
      <c r="L780" s="11" t="s">
        <v>241</v>
      </c>
      <c r="M780" s="11">
        <v>1.2942</v>
      </c>
      <c r="N780" s="11">
        <v>0.19550000000000001</v>
      </c>
    </row>
    <row r="781" spans="2:14" ht="15" customHeight="1" x14ac:dyDescent="0.25">
      <c r="B781" s="6" t="s">
        <v>1787</v>
      </c>
      <c r="C781" s="7" t="s">
        <v>1788</v>
      </c>
      <c r="D781" s="6" t="s">
        <v>240</v>
      </c>
      <c r="E781" s="6" t="s">
        <v>240</v>
      </c>
      <c r="F781" s="8">
        <v>1.8</v>
      </c>
      <c r="G781" s="9">
        <v>1</v>
      </c>
      <c r="H781" s="9">
        <v>5</v>
      </c>
      <c r="I781" s="10">
        <v>1.34</v>
      </c>
      <c r="J781" s="11" t="s">
        <v>241</v>
      </c>
      <c r="K781" s="11" t="s">
        <v>241</v>
      </c>
      <c r="L781" s="11" t="s">
        <v>241</v>
      </c>
      <c r="M781" s="11">
        <v>0.3856</v>
      </c>
      <c r="N781" s="11">
        <v>0.1951</v>
      </c>
    </row>
    <row r="782" spans="2:14" ht="15" customHeight="1" x14ac:dyDescent="0.25">
      <c r="B782" s="6" t="s">
        <v>1789</v>
      </c>
      <c r="C782" s="7" t="s">
        <v>1790</v>
      </c>
      <c r="D782" s="6" t="s">
        <v>240</v>
      </c>
      <c r="E782" s="6" t="s">
        <v>240</v>
      </c>
      <c r="F782" s="8">
        <v>7.6</v>
      </c>
      <c r="G782" s="9">
        <v>2</v>
      </c>
      <c r="H782" s="9">
        <v>23</v>
      </c>
      <c r="I782" s="10">
        <v>1.0900000000000001</v>
      </c>
      <c r="J782" s="11" t="s">
        <v>241</v>
      </c>
      <c r="K782" s="11">
        <v>0</v>
      </c>
      <c r="L782" s="11">
        <v>1.0384</v>
      </c>
      <c r="M782" s="11">
        <v>2.0768</v>
      </c>
      <c r="N782" s="11">
        <v>0.19800000000000001</v>
      </c>
    </row>
    <row r="783" spans="2:14" ht="15" customHeight="1" x14ac:dyDescent="0.25">
      <c r="B783" s="6" t="s">
        <v>1791</v>
      </c>
      <c r="C783" s="7" t="s">
        <v>1792</v>
      </c>
      <c r="D783" s="6" t="s">
        <v>240</v>
      </c>
      <c r="E783" s="6" t="s">
        <v>240</v>
      </c>
      <c r="F783" s="8">
        <v>2.2999999999999998</v>
      </c>
      <c r="G783" s="9">
        <v>1</v>
      </c>
      <c r="H783" s="9">
        <v>6</v>
      </c>
      <c r="I783" s="10">
        <v>0.94</v>
      </c>
      <c r="J783" s="11" t="s">
        <v>241</v>
      </c>
      <c r="K783" s="11" t="s">
        <v>241</v>
      </c>
      <c r="L783" s="11" t="s">
        <v>241</v>
      </c>
      <c r="M783" s="11">
        <v>0.45190000000000002</v>
      </c>
      <c r="N783" s="11">
        <v>0.2235</v>
      </c>
    </row>
    <row r="784" spans="2:14" ht="15" customHeight="1" x14ac:dyDescent="0.25">
      <c r="B784" s="6" t="s">
        <v>1793</v>
      </c>
      <c r="C784" s="7" t="s">
        <v>1794</v>
      </c>
      <c r="D784" s="6" t="s">
        <v>240</v>
      </c>
      <c r="E784" s="6" t="s">
        <v>240</v>
      </c>
      <c r="F784" s="8">
        <v>1.3</v>
      </c>
      <c r="G784" s="9">
        <v>1</v>
      </c>
      <c r="H784" s="9">
        <v>4</v>
      </c>
      <c r="I784" s="10">
        <v>1.08</v>
      </c>
      <c r="J784" s="11" t="s">
        <v>241</v>
      </c>
      <c r="K784" s="11" t="s">
        <v>241</v>
      </c>
      <c r="L784" s="11" t="s">
        <v>241</v>
      </c>
      <c r="M784" s="11">
        <v>0.2422</v>
      </c>
      <c r="N784" s="11">
        <v>0.1711</v>
      </c>
    </row>
    <row r="785" spans="2:14" ht="15" customHeight="1" x14ac:dyDescent="0.25">
      <c r="B785" s="6" t="s">
        <v>1795</v>
      </c>
      <c r="C785" s="7" t="s">
        <v>1796</v>
      </c>
      <c r="D785" s="6" t="s">
        <v>240</v>
      </c>
      <c r="E785" s="6" t="s">
        <v>240</v>
      </c>
      <c r="F785" s="8">
        <v>25</v>
      </c>
      <c r="G785" s="9">
        <v>18</v>
      </c>
      <c r="H785" s="9">
        <v>43</v>
      </c>
      <c r="I785" s="10">
        <v>1</v>
      </c>
      <c r="J785" s="11" t="s">
        <v>241</v>
      </c>
      <c r="K785" s="11">
        <v>3.8077999999999999</v>
      </c>
      <c r="L785" s="11">
        <v>1.7479</v>
      </c>
      <c r="M785" s="11">
        <v>35.269199999999998</v>
      </c>
      <c r="N785" s="11">
        <v>0.79349999999999998</v>
      </c>
    </row>
    <row r="786" spans="2:14" ht="15" customHeight="1" x14ac:dyDescent="0.25">
      <c r="B786" s="6" t="s">
        <v>1797</v>
      </c>
      <c r="C786" s="7" t="s">
        <v>1798</v>
      </c>
      <c r="D786" s="6" t="s">
        <v>240</v>
      </c>
      <c r="E786" s="6" t="s">
        <v>240</v>
      </c>
      <c r="F786" s="8">
        <v>21.5</v>
      </c>
      <c r="G786" s="9">
        <v>13</v>
      </c>
      <c r="H786" s="9">
        <v>30</v>
      </c>
      <c r="I786" s="10">
        <v>1</v>
      </c>
      <c r="J786" s="11" t="s">
        <v>241</v>
      </c>
      <c r="K786" s="11">
        <v>0.9798</v>
      </c>
      <c r="L786" s="11">
        <v>0.76480000000000004</v>
      </c>
      <c r="M786" s="11">
        <v>10.922599999999999</v>
      </c>
      <c r="N786" s="11">
        <v>0.48570000000000002</v>
      </c>
    </row>
    <row r="787" spans="2:14" ht="15" customHeight="1" x14ac:dyDescent="0.25">
      <c r="B787" s="6" t="s">
        <v>1799</v>
      </c>
      <c r="C787" s="7" t="s">
        <v>1800</v>
      </c>
      <c r="D787" s="6" t="s">
        <v>240</v>
      </c>
      <c r="E787" s="6" t="s">
        <v>240</v>
      </c>
      <c r="F787" s="8">
        <v>8.1999999999999993</v>
      </c>
      <c r="G787" s="9">
        <v>2</v>
      </c>
      <c r="H787" s="9">
        <v>26</v>
      </c>
      <c r="I787" s="10">
        <v>1.07</v>
      </c>
      <c r="J787" s="11" t="s">
        <v>241</v>
      </c>
      <c r="K787" s="11">
        <v>0.54859999999999998</v>
      </c>
      <c r="L787" s="11">
        <v>1.9157999999999999</v>
      </c>
      <c r="M787" s="11">
        <v>4.3802000000000003</v>
      </c>
      <c r="N787" s="11">
        <v>0.3634</v>
      </c>
    </row>
    <row r="788" spans="2:14" ht="15" customHeight="1" x14ac:dyDescent="0.25">
      <c r="B788" s="6" t="s">
        <v>1801</v>
      </c>
      <c r="C788" s="7" t="s">
        <v>1802</v>
      </c>
      <c r="D788" s="6" t="s">
        <v>240</v>
      </c>
      <c r="E788" s="6" t="s">
        <v>240</v>
      </c>
      <c r="F788" s="8">
        <v>3.2</v>
      </c>
      <c r="G788" s="9">
        <v>1</v>
      </c>
      <c r="H788" s="9">
        <v>9</v>
      </c>
      <c r="I788" s="10">
        <v>0.93</v>
      </c>
      <c r="J788" s="11" t="s">
        <v>241</v>
      </c>
      <c r="K788" s="11" t="s">
        <v>241</v>
      </c>
      <c r="L788" s="11" t="s">
        <v>241</v>
      </c>
      <c r="M788" s="11">
        <v>1.6088</v>
      </c>
      <c r="N788" s="11">
        <v>0.42680000000000001</v>
      </c>
    </row>
    <row r="789" spans="2:14" ht="15" customHeight="1" x14ac:dyDescent="0.25">
      <c r="B789" s="6" t="s">
        <v>1803</v>
      </c>
      <c r="C789" s="7" t="s">
        <v>1804</v>
      </c>
      <c r="D789" s="6" t="s">
        <v>240</v>
      </c>
      <c r="E789" s="6" t="s">
        <v>240</v>
      </c>
      <c r="F789" s="8">
        <v>4</v>
      </c>
      <c r="G789" s="9">
        <v>1</v>
      </c>
      <c r="H789" s="9">
        <v>13</v>
      </c>
      <c r="I789" s="10">
        <v>1.27</v>
      </c>
      <c r="J789" s="11" t="s">
        <v>241</v>
      </c>
      <c r="K789" s="11" t="s">
        <v>241</v>
      </c>
      <c r="L789" s="11" t="s">
        <v>241</v>
      </c>
      <c r="M789" s="11">
        <v>1.5188999999999999</v>
      </c>
      <c r="N789" s="11">
        <v>0.35070000000000001</v>
      </c>
    </row>
    <row r="790" spans="2:14" ht="15" customHeight="1" x14ac:dyDescent="0.25">
      <c r="B790" s="6" t="s">
        <v>1805</v>
      </c>
      <c r="C790" s="7" t="s">
        <v>1806</v>
      </c>
      <c r="D790" s="6" t="s">
        <v>240</v>
      </c>
      <c r="E790" s="6" t="s">
        <v>240</v>
      </c>
      <c r="F790" s="8">
        <v>1.5</v>
      </c>
      <c r="G790" s="9">
        <v>1</v>
      </c>
      <c r="H790" s="9">
        <v>5</v>
      </c>
      <c r="I790" s="10">
        <v>1.1100000000000001</v>
      </c>
      <c r="J790" s="11" t="s">
        <v>241</v>
      </c>
      <c r="K790" s="11" t="s">
        <v>241</v>
      </c>
      <c r="L790" s="11" t="s">
        <v>241</v>
      </c>
      <c r="M790" s="11">
        <v>0.68640000000000001</v>
      </c>
      <c r="N790" s="11">
        <v>0.35560000000000003</v>
      </c>
    </row>
    <row r="791" spans="2:14" ht="15" customHeight="1" x14ac:dyDescent="0.25">
      <c r="B791" s="6" t="s">
        <v>1807</v>
      </c>
      <c r="C791" s="7" t="s">
        <v>1808</v>
      </c>
      <c r="D791" s="6" t="s">
        <v>240</v>
      </c>
      <c r="E791" s="6" t="s">
        <v>240</v>
      </c>
      <c r="F791" s="8">
        <v>1.3</v>
      </c>
      <c r="G791" s="9">
        <v>1</v>
      </c>
      <c r="H791" s="9">
        <v>4</v>
      </c>
      <c r="I791" s="10">
        <v>1</v>
      </c>
      <c r="J791" s="11" t="s">
        <v>241</v>
      </c>
      <c r="K791" s="11" t="s">
        <v>241</v>
      </c>
      <c r="L791" s="11" t="s">
        <v>241</v>
      </c>
      <c r="M791" s="11">
        <v>0.47799999999999998</v>
      </c>
      <c r="N791" s="11" t="s">
        <v>241</v>
      </c>
    </row>
    <row r="792" spans="2:14" ht="15" customHeight="1" x14ac:dyDescent="0.25">
      <c r="B792" s="6" t="s">
        <v>1809</v>
      </c>
      <c r="C792" s="7" t="s">
        <v>1810</v>
      </c>
      <c r="D792" s="6" t="s">
        <v>240</v>
      </c>
      <c r="E792" s="6" t="s">
        <v>240</v>
      </c>
      <c r="F792" s="8">
        <v>3.3</v>
      </c>
      <c r="G792" s="9">
        <v>1</v>
      </c>
      <c r="H792" s="9">
        <v>10</v>
      </c>
      <c r="I792" s="10">
        <v>1</v>
      </c>
      <c r="J792" s="11" t="s">
        <v>241</v>
      </c>
      <c r="K792" s="11" t="s">
        <v>241</v>
      </c>
      <c r="L792" s="11" t="s">
        <v>241</v>
      </c>
      <c r="M792" s="11">
        <v>0.87670000000000003</v>
      </c>
      <c r="N792" s="11">
        <v>0.31680000000000003</v>
      </c>
    </row>
    <row r="793" spans="2:14" ht="15" customHeight="1" x14ac:dyDescent="0.25">
      <c r="B793" s="6" t="s">
        <v>1811</v>
      </c>
      <c r="C793" s="7" t="s">
        <v>1812</v>
      </c>
      <c r="D793" s="6" t="s">
        <v>290</v>
      </c>
      <c r="E793" s="6" t="s">
        <v>240</v>
      </c>
      <c r="F793" s="8">
        <v>5</v>
      </c>
      <c r="G793" s="9">
        <v>1</v>
      </c>
      <c r="H793" s="9">
        <v>17</v>
      </c>
      <c r="I793" s="10">
        <v>1.08</v>
      </c>
      <c r="J793" s="11">
        <v>0.26390000000000002</v>
      </c>
      <c r="K793" s="11" t="s">
        <v>241</v>
      </c>
      <c r="L793" s="11" t="s">
        <v>241</v>
      </c>
      <c r="M793" s="11">
        <v>1.6439999999999999</v>
      </c>
      <c r="N793" s="11">
        <v>0.2974</v>
      </c>
    </row>
    <row r="794" spans="2:14" ht="15" customHeight="1" x14ac:dyDescent="0.25">
      <c r="B794" s="6" t="s">
        <v>1813</v>
      </c>
      <c r="C794" s="7" t="s">
        <v>1814</v>
      </c>
      <c r="D794" s="6" t="s">
        <v>240</v>
      </c>
      <c r="E794" s="6" t="s">
        <v>240</v>
      </c>
      <c r="F794" s="8">
        <v>1.6</v>
      </c>
      <c r="G794" s="9">
        <v>1</v>
      </c>
      <c r="H794" s="9">
        <v>5</v>
      </c>
      <c r="I794" s="10">
        <v>1.62</v>
      </c>
      <c r="J794" s="11" t="s">
        <v>241</v>
      </c>
      <c r="K794" s="11" t="s">
        <v>241</v>
      </c>
      <c r="L794" s="11" t="s">
        <v>241</v>
      </c>
      <c r="M794" s="11">
        <v>0.31909999999999999</v>
      </c>
      <c r="N794" s="11">
        <v>0.245</v>
      </c>
    </row>
    <row r="795" spans="2:14" ht="15" customHeight="1" x14ac:dyDescent="0.25">
      <c r="B795" s="6" t="s">
        <v>1815</v>
      </c>
      <c r="C795" s="7" t="s">
        <v>1816</v>
      </c>
      <c r="D795" s="6" t="s">
        <v>240</v>
      </c>
      <c r="E795" s="6" t="s">
        <v>240</v>
      </c>
      <c r="F795" s="8">
        <v>5.7</v>
      </c>
      <c r="G795" s="9">
        <v>2</v>
      </c>
      <c r="H795" s="9">
        <v>18</v>
      </c>
      <c r="I795" s="10">
        <v>1.07</v>
      </c>
      <c r="J795" s="11" t="s">
        <v>241</v>
      </c>
      <c r="K795" s="11">
        <v>0.54039999999999999</v>
      </c>
      <c r="L795" s="11">
        <v>1.2399</v>
      </c>
      <c r="M795" s="11">
        <v>3.0200999999999998</v>
      </c>
      <c r="N795" s="11">
        <v>0.19539999999999999</v>
      </c>
    </row>
    <row r="796" spans="2:14" ht="15" customHeight="1" x14ac:dyDescent="0.25">
      <c r="B796" s="6" t="s">
        <v>1817</v>
      </c>
      <c r="C796" s="7" t="s">
        <v>1818</v>
      </c>
      <c r="D796" s="6" t="s">
        <v>240</v>
      </c>
      <c r="E796" s="6" t="s">
        <v>240</v>
      </c>
      <c r="F796" s="8">
        <v>1.1000000000000001</v>
      </c>
      <c r="G796" s="9">
        <v>1</v>
      </c>
      <c r="H796" s="9">
        <v>4</v>
      </c>
      <c r="I796" s="10">
        <v>1.24</v>
      </c>
      <c r="J796" s="11" t="s">
        <v>241</v>
      </c>
      <c r="K796" s="11" t="s">
        <v>241</v>
      </c>
      <c r="L796" s="11" t="s">
        <v>241</v>
      </c>
      <c r="M796" s="11">
        <v>0.6673</v>
      </c>
      <c r="N796" s="11">
        <v>0.24329999999999999</v>
      </c>
    </row>
    <row r="797" spans="2:14" ht="15" customHeight="1" x14ac:dyDescent="0.25">
      <c r="B797" s="6" t="s">
        <v>1819</v>
      </c>
      <c r="C797" s="7" t="s">
        <v>1820</v>
      </c>
      <c r="D797" s="6" t="s">
        <v>240</v>
      </c>
      <c r="E797" s="6" t="s">
        <v>240</v>
      </c>
      <c r="F797" s="8">
        <v>1</v>
      </c>
      <c r="G797" s="9">
        <v>1</v>
      </c>
      <c r="H797" s="9">
        <v>3</v>
      </c>
      <c r="I797" s="10">
        <v>2</v>
      </c>
      <c r="J797" s="11" t="s">
        <v>241</v>
      </c>
      <c r="K797" s="11" t="s">
        <v>241</v>
      </c>
      <c r="L797" s="11" t="s">
        <v>241</v>
      </c>
      <c r="M797" s="11">
        <v>0.28910000000000002</v>
      </c>
      <c r="N797" s="11">
        <v>0.13700000000000001</v>
      </c>
    </row>
    <row r="798" spans="2:14" ht="15" customHeight="1" x14ac:dyDescent="0.25">
      <c r="B798" s="6" t="s">
        <v>1821</v>
      </c>
      <c r="C798" s="7" t="s">
        <v>1822</v>
      </c>
      <c r="D798" s="6" t="s">
        <v>240</v>
      </c>
      <c r="E798" s="6" t="s">
        <v>240</v>
      </c>
      <c r="F798" s="8">
        <v>7</v>
      </c>
      <c r="G798" s="9">
        <v>2</v>
      </c>
      <c r="H798" s="9">
        <v>21</v>
      </c>
      <c r="I798" s="10">
        <v>1</v>
      </c>
      <c r="J798" s="11" t="s">
        <v>241</v>
      </c>
      <c r="K798" s="11">
        <v>0</v>
      </c>
      <c r="L798" s="11">
        <v>0.92100000000000004</v>
      </c>
      <c r="M798" s="11">
        <v>1.8419000000000001</v>
      </c>
      <c r="N798" s="11">
        <v>0.2092</v>
      </c>
    </row>
    <row r="799" spans="2:14" ht="15" customHeight="1" x14ac:dyDescent="0.25">
      <c r="B799" s="6" t="s">
        <v>1823</v>
      </c>
      <c r="C799" s="7" t="s">
        <v>1824</v>
      </c>
      <c r="D799" s="6" t="s">
        <v>290</v>
      </c>
      <c r="E799" s="6" t="s">
        <v>240</v>
      </c>
      <c r="F799" s="8">
        <v>2.8</v>
      </c>
      <c r="G799" s="9">
        <v>1</v>
      </c>
      <c r="H799" s="9">
        <v>11</v>
      </c>
      <c r="I799" s="10">
        <v>0.87</v>
      </c>
      <c r="J799" s="11">
        <v>0.18559999999999999</v>
      </c>
      <c r="K799" s="11" t="s">
        <v>241</v>
      </c>
      <c r="L799" s="11" t="s">
        <v>241</v>
      </c>
      <c r="M799" s="11">
        <v>0.63829999999999998</v>
      </c>
      <c r="N799" s="11">
        <v>0.21190000000000001</v>
      </c>
    </row>
    <row r="800" spans="2:14" ht="15" customHeight="1" x14ac:dyDescent="0.25">
      <c r="B800" s="6" t="s">
        <v>1825</v>
      </c>
      <c r="C800" s="7" t="s">
        <v>1826</v>
      </c>
      <c r="D800" s="6" t="s">
        <v>240</v>
      </c>
      <c r="E800" s="6" t="s">
        <v>240</v>
      </c>
      <c r="F800" s="8">
        <v>9.1999999999999993</v>
      </c>
      <c r="G800" s="9">
        <v>2</v>
      </c>
      <c r="H800" s="9">
        <v>27</v>
      </c>
      <c r="I800" s="10">
        <v>1</v>
      </c>
      <c r="J800" s="11" t="s">
        <v>241</v>
      </c>
      <c r="K800" s="11">
        <v>0</v>
      </c>
      <c r="L800" s="11">
        <v>1.0787</v>
      </c>
      <c r="M800" s="11">
        <v>2.1575000000000002</v>
      </c>
      <c r="N800" s="11">
        <v>0.20480000000000001</v>
      </c>
    </row>
    <row r="801" spans="2:14" ht="15" customHeight="1" x14ac:dyDescent="0.25">
      <c r="B801" s="6" t="s">
        <v>1827</v>
      </c>
      <c r="C801" s="7" t="s">
        <v>1828</v>
      </c>
      <c r="D801" s="6" t="s">
        <v>240</v>
      </c>
      <c r="E801" s="6" t="s">
        <v>240</v>
      </c>
      <c r="F801" s="8">
        <v>3.8</v>
      </c>
      <c r="G801" s="9">
        <v>1</v>
      </c>
      <c r="H801" s="9">
        <v>11</v>
      </c>
      <c r="I801" s="10">
        <v>0.8</v>
      </c>
      <c r="J801" s="11" t="s">
        <v>241</v>
      </c>
      <c r="K801" s="11" t="s">
        <v>241</v>
      </c>
      <c r="L801" s="11" t="s">
        <v>241</v>
      </c>
      <c r="M801" s="11">
        <v>0.76270000000000004</v>
      </c>
      <c r="N801" s="11">
        <v>0.1739</v>
      </c>
    </row>
    <row r="802" spans="2:14" ht="15" customHeight="1" x14ac:dyDescent="0.25">
      <c r="B802" s="6" t="s">
        <v>1829</v>
      </c>
      <c r="C802" s="7" t="s">
        <v>1830</v>
      </c>
      <c r="D802" s="6" t="s">
        <v>240</v>
      </c>
      <c r="E802" s="6" t="s">
        <v>240</v>
      </c>
      <c r="F802" s="8">
        <v>3.3</v>
      </c>
      <c r="G802" s="9">
        <v>1</v>
      </c>
      <c r="H802" s="9">
        <v>11</v>
      </c>
      <c r="I802" s="10">
        <v>1</v>
      </c>
      <c r="J802" s="11" t="s">
        <v>241</v>
      </c>
      <c r="K802" s="11" t="s">
        <v>241</v>
      </c>
      <c r="L802" s="11" t="s">
        <v>241</v>
      </c>
      <c r="M802" s="11">
        <v>0.66869999999999996</v>
      </c>
      <c r="N802" s="11">
        <v>0.22189999999999999</v>
      </c>
    </row>
    <row r="803" spans="2:14" ht="15" customHeight="1" x14ac:dyDescent="0.25">
      <c r="B803" s="6" t="s">
        <v>1831</v>
      </c>
      <c r="C803" s="7" t="s">
        <v>1832</v>
      </c>
      <c r="D803" s="6" t="s">
        <v>290</v>
      </c>
      <c r="E803" s="6" t="s">
        <v>240</v>
      </c>
      <c r="F803" s="8">
        <v>2.4</v>
      </c>
      <c r="G803" s="9">
        <v>1</v>
      </c>
      <c r="H803" s="9">
        <v>10</v>
      </c>
      <c r="I803" s="10">
        <v>1.33</v>
      </c>
      <c r="J803" s="11">
        <v>0.21390000000000001</v>
      </c>
      <c r="K803" s="11" t="s">
        <v>241</v>
      </c>
      <c r="L803" s="11" t="s">
        <v>241</v>
      </c>
      <c r="M803" s="11">
        <v>0.48699999999999999</v>
      </c>
      <c r="N803" s="11">
        <v>0.1898</v>
      </c>
    </row>
    <row r="804" spans="2:14" ht="15" customHeight="1" x14ac:dyDescent="0.25">
      <c r="B804" s="6" t="s">
        <v>1833</v>
      </c>
      <c r="C804" s="7" t="s">
        <v>1834</v>
      </c>
      <c r="D804" s="6" t="s">
        <v>240</v>
      </c>
      <c r="E804" s="6" t="s">
        <v>240</v>
      </c>
      <c r="F804" s="8">
        <v>2.2999999999999998</v>
      </c>
      <c r="G804" s="9">
        <v>1</v>
      </c>
      <c r="H804" s="9">
        <v>5</v>
      </c>
      <c r="I804" s="10">
        <v>1.1200000000000001</v>
      </c>
      <c r="J804" s="11" t="s">
        <v>241</v>
      </c>
      <c r="K804" s="11" t="s">
        <v>241</v>
      </c>
      <c r="L804" s="11" t="s">
        <v>241</v>
      </c>
      <c r="M804" s="11">
        <v>0.6522</v>
      </c>
      <c r="N804" s="11">
        <v>0.32429999999999998</v>
      </c>
    </row>
    <row r="805" spans="2:14" ht="15" customHeight="1" x14ac:dyDescent="0.25">
      <c r="B805" s="6" t="s">
        <v>1835</v>
      </c>
      <c r="C805" s="7" t="s">
        <v>1836</v>
      </c>
      <c r="D805" s="6" t="s">
        <v>240</v>
      </c>
      <c r="E805" s="6" t="s">
        <v>240</v>
      </c>
      <c r="F805" s="8">
        <v>2</v>
      </c>
      <c r="G805" s="9">
        <v>1</v>
      </c>
      <c r="H805" s="9">
        <v>8</v>
      </c>
      <c r="I805" s="10">
        <v>1.51</v>
      </c>
      <c r="J805" s="11" t="s">
        <v>241</v>
      </c>
      <c r="K805" s="11" t="s">
        <v>241</v>
      </c>
      <c r="L805" s="11" t="s">
        <v>241</v>
      </c>
      <c r="M805" s="11">
        <v>0.37280000000000002</v>
      </c>
      <c r="N805" s="11">
        <v>0.19539999999999999</v>
      </c>
    </row>
  </sheetData>
  <mergeCells count="8">
    <mergeCell ref="I6:I7"/>
    <mergeCell ref="J6:N6"/>
    <mergeCell ref="B6:B7"/>
    <mergeCell ref="C6:C7"/>
    <mergeCell ref="D6:D7"/>
    <mergeCell ref="E6:E7"/>
    <mergeCell ref="F6:F7"/>
    <mergeCell ref="G6:H6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B1:P96"/>
  <sheetViews>
    <sheetView showGridLines="0" tabSelected="1" topLeftCell="A5" workbookViewId="0">
      <selection activeCell="P10" sqref="P10"/>
    </sheetView>
  </sheetViews>
  <sheetFormatPr defaultRowHeight="15" customHeight="1" x14ac:dyDescent="0.25"/>
  <cols>
    <col min="1" max="1" width="2.7109375" customWidth="1"/>
    <col min="3" max="3" width="16.7109375" bestFit="1" customWidth="1"/>
    <col min="4" max="4" width="25.85546875" bestFit="1" customWidth="1"/>
    <col min="5" max="5" width="62" bestFit="1" customWidth="1"/>
  </cols>
  <sheetData>
    <row r="1" spans="2:16" ht="20.100000000000001" customHeight="1" x14ac:dyDescent="0.25"/>
    <row r="2" spans="2:16" ht="20.100000000000001" customHeight="1" x14ac:dyDescent="0.3">
      <c r="B2" s="30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6" ht="20.100000000000001" customHeight="1" x14ac:dyDescent="0.25"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>
        <v>7258</v>
      </c>
    </row>
    <row r="4" spans="2:16" ht="20.100000000000001" customHeight="1" x14ac:dyDescent="0.25">
      <c r="B4" s="4" t="s">
        <v>43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16" ht="20.100000000000001" customHeight="1" x14ac:dyDescent="0.25">
      <c r="B5" s="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2:16" ht="15" customHeight="1" x14ac:dyDescent="0.25">
      <c r="B6" s="66" t="s">
        <v>38</v>
      </c>
      <c r="C6" s="66" t="s">
        <v>16</v>
      </c>
      <c r="D6" s="66" t="s">
        <v>17</v>
      </c>
      <c r="E6" s="66" t="s">
        <v>2</v>
      </c>
      <c r="F6" s="66" t="s">
        <v>18</v>
      </c>
      <c r="G6" s="66" t="s">
        <v>19</v>
      </c>
      <c r="H6" s="66" t="s">
        <v>6</v>
      </c>
      <c r="I6" s="66"/>
      <c r="J6" s="66" t="s">
        <v>8</v>
      </c>
      <c r="K6" s="66"/>
      <c r="L6" s="66"/>
      <c r="M6" s="66"/>
    </row>
    <row r="7" spans="2:16" ht="36" customHeight="1" x14ac:dyDescent="0.25">
      <c r="B7" s="66"/>
      <c r="C7" s="66"/>
      <c r="D7" s="66"/>
      <c r="E7" s="66"/>
      <c r="F7" s="66"/>
      <c r="G7" s="66"/>
      <c r="H7" s="43" t="s">
        <v>9</v>
      </c>
      <c r="I7" s="43" t="s">
        <v>10</v>
      </c>
      <c r="J7" s="43" t="s">
        <v>11</v>
      </c>
      <c r="K7" s="43" t="s">
        <v>13</v>
      </c>
      <c r="L7" s="43" t="s">
        <v>14</v>
      </c>
      <c r="M7" s="43" t="s">
        <v>15</v>
      </c>
    </row>
    <row r="8" spans="2:16" ht="15" customHeight="1" x14ac:dyDescent="0.25">
      <c r="B8" s="13" t="s">
        <v>2225</v>
      </c>
      <c r="C8" s="14" t="s">
        <v>2226</v>
      </c>
      <c r="D8" s="14" t="s">
        <v>2227</v>
      </c>
      <c r="E8" s="14" t="s">
        <v>2228</v>
      </c>
      <c r="F8" s="13" t="s">
        <v>240</v>
      </c>
      <c r="G8" s="15">
        <v>50.8</v>
      </c>
      <c r="H8" s="16">
        <v>32</v>
      </c>
      <c r="I8" s="16">
        <v>70</v>
      </c>
      <c r="J8" s="17" t="s">
        <v>241</v>
      </c>
      <c r="K8" s="17">
        <v>0.41980000000000001</v>
      </c>
      <c r="L8" s="17">
        <v>13.432700000000001</v>
      </c>
      <c r="M8" s="17">
        <v>0.2671</v>
      </c>
      <c r="N8">
        <f>(L8*$N$3)/G8</f>
        <v>1919.183791338583</v>
      </c>
      <c r="O8">
        <f>M8*$N$3</f>
        <v>1938.6118000000001</v>
      </c>
      <c r="P8">
        <f>MIN(O8:O55)</f>
        <v>1071.2808</v>
      </c>
    </row>
    <row r="9" spans="2:16" ht="15" customHeight="1" x14ac:dyDescent="0.25">
      <c r="B9" s="13" t="s">
        <v>2229</v>
      </c>
      <c r="C9" s="14" t="s">
        <v>2226</v>
      </c>
      <c r="D9" s="14" t="s">
        <v>2227</v>
      </c>
      <c r="E9" s="14" t="s">
        <v>2230</v>
      </c>
      <c r="F9" s="13" t="s">
        <v>240</v>
      </c>
      <c r="G9" s="15">
        <v>70.8</v>
      </c>
      <c r="H9" s="16">
        <v>46</v>
      </c>
      <c r="I9" s="16">
        <v>90</v>
      </c>
      <c r="J9" s="17" t="s">
        <v>241</v>
      </c>
      <c r="K9" s="17">
        <v>0.40260000000000001</v>
      </c>
      <c r="L9" s="17">
        <v>18.517900000000001</v>
      </c>
      <c r="M9" s="17">
        <v>0.26910000000000001</v>
      </c>
      <c r="N9">
        <f t="shared" ref="N9:N72" si="0">(L9*$N$3)/G9</f>
        <v>1898.3463022598874</v>
      </c>
      <c r="O9">
        <f t="shared" ref="O9:O72" si="1">M9*$N$3</f>
        <v>1953.1278</v>
      </c>
      <c r="P9">
        <f>MAX(O8:O55)</f>
        <v>2042.4011999999998</v>
      </c>
    </row>
    <row r="10" spans="2:16" ht="15" customHeight="1" x14ac:dyDescent="0.25">
      <c r="B10" s="13" t="s">
        <v>2231</v>
      </c>
      <c r="C10" s="14" t="s">
        <v>2226</v>
      </c>
      <c r="D10" s="14" t="s">
        <v>2227</v>
      </c>
      <c r="E10" s="14" t="s">
        <v>2232</v>
      </c>
      <c r="F10" s="13" t="s">
        <v>240</v>
      </c>
      <c r="G10" s="15">
        <v>23.3</v>
      </c>
      <c r="H10" s="16">
        <v>15</v>
      </c>
      <c r="I10" s="16">
        <v>34</v>
      </c>
      <c r="J10" s="17" t="s">
        <v>241</v>
      </c>
      <c r="K10" s="17">
        <v>0.35670000000000002</v>
      </c>
      <c r="L10" s="17">
        <v>5.3506</v>
      </c>
      <c r="M10" s="17">
        <v>0.20799999999999999</v>
      </c>
      <c r="N10">
        <f t="shared" si="0"/>
        <v>1666.7233819742487</v>
      </c>
      <c r="O10">
        <f t="shared" si="1"/>
        <v>1509.664</v>
      </c>
    </row>
    <row r="11" spans="2:16" ht="15" customHeight="1" x14ac:dyDescent="0.25">
      <c r="B11" s="13" t="s">
        <v>2233</v>
      </c>
      <c r="C11" s="14" t="s">
        <v>2226</v>
      </c>
      <c r="D11" s="14" t="s">
        <v>2227</v>
      </c>
      <c r="E11" s="14" t="s">
        <v>2234</v>
      </c>
      <c r="F11" s="13" t="s">
        <v>240</v>
      </c>
      <c r="G11" s="15">
        <v>40.5</v>
      </c>
      <c r="H11" s="16">
        <v>27</v>
      </c>
      <c r="I11" s="16">
        <v>61</v>
      </c>
      <c r="J11" s="17" t="s">
        <v>241</v>
      </c>
      <c r="K11" s="17">
        <v>0.35980000000000001</v>
      </c>
      <c r="L11" s="17">
        <v>9.7136999999999993</v>
      </c>
      <c r="M11" s="17">
        <v>0.2238</v>
      </c>
      <c r="N11">
        <f t="shared" si="0"/>
        <v>1740.7909777777777</v>
      </c>
      <c r="O11">
        <f t="shared" si="1"/>
        <v>1624.3404</v>
      </c>
    </row>
    <row r="12" spans="2:16" ht="15" customHeight="1" x14ac:dyDescent="0.25">
      <c r="B12" s="13" t="s">
        <v>2235</v>
      </c>
      <c r="C12" s="14" t="s">
        <v>2226</v>
      </c>
      <c r="D12" s="14" t="s">
        <v>2227</v>
      </c>
      <c r="E12" s="14" t="s">
        <v>2236</v>
      </c>
      <c r="F12" s="13" t="s">
        <v>240</v>
      </c>
      <c r="G12" s="15">
        <v>11.8</v>
      </c>
      <c r="H12" s="16">
        <v>7</v>
      </c>
      <c r="I12" s="16">
        <v>17</v>
      </c>
      <c r="J12" s="17" t="s">
        <v>241</v>
      </c>
      <c r="K12" s="17">
        <v>0.31619999999999998</v>
      </c>
      <c r="L12" s="17">
        <v>2.2134</v>
      </c>
      <c r="M12" s="17">
        <v>0.18640000000000001</v>
      </c>
      <c r="N12">
        <f t="shared" si="0"/>
        <v>1361.4285762711863</v>
      </c>
      <c r="O12">
        <f t="shared" si="1"/>
        <v>1352.8912</v>
      </c>
    </row>
    <row r="13" spans="2:16" ht="15" customHeight="1" x14ac:dyDescent="0.25">
      <c r="B13" s="13" t="s">
        <v>2237</v>
      </c>
      <c r="C13" s="14" t="s">
        <v>2226</v>
      </c>
      <c r="D13" s="14" t="s">
        <v>2227</v>
      </c>
      <c r="E13" s="14" t="s">
        <v>2238</v>
      </c>
      <c r="F13" s="13" t="s">
        <v>240</v>
      </c>
      <c r="G13" s="15">
        <v>13.5</v>
      </c>
      <c r="H13" s="16">
        <v>9</v>
      </c>
      <c r="I13" s="16">
        <v>22</v>
      </c>
      <c r="J13" s="17" t="s">
        <v>241</v>
      </c>
      <c r="K13" s="17">
        <v>0.35</v>
      </c>
      <c r="L13" s="17">
        <v>3.15</v>
      </c>
      <c r="M13" s="17">
        <v>0.2099</v>
      </c>
      <c r="N13">
        <f t="shared" si="0"/>
        <v>1693.5333333333333</v>
      </c>
      <c r="O13">
        <f t="shared" si="1"/>
        <v>1523.4542000000001</v>
      </c>
    </row>
    <row r="14" spans="2:16" ht="15" customHeight="1" x14ac:dyDescent="0.25">
      <c r="B14" s="13" t="s">
        <v>2239</v>
      </c>
      <c r="C14" s="14" t="s">
        <v>2226</v>
      </c>
      <c r="D14" s="14" t="s">
        <v>2227</v>
      </c>
      <c r="E14" s="14" t="s">
        <v>2240</v>
      </c>
      <c r="F14" s="13" t="s">
        <v>240</v>
      </c>
      <c r="G14" s="15">
        <v>21.4</v>
      </c>
      <c r="H14" s="16">
        <v>13</v>
      </c>
      <c r="I14" s="16">
        <v>31</v>
      </c>
      <c r="J14" s="17" t="s">
        <v>241</v>
      </c>
      <c r="K14" s="17">
        <v>0.36449999999999999</v>
      </c>
      <c r="L14" s="17">
        <v>4.7381000000000002</v>
      </c>
      <c r="M14" s="17">
        <v>0.21379999999999999</v>
      </c>
      <c r="N14">
        <f t="shared" si="0"/>
        <v>1606.9686822429908</v>
      </c>
      <c r="O14">
        <f t="shared" si="1"/>
        <v>1551.7603999999999</v>
      </c>
    </row>
    <row r="15" spans="2:16" ht="15" customHeight="1" x14ac:dyDescent="0.25">
      <c r="B15" s="13" t="s">
        <v>2241</v>
      </c>
      <c r="C15" s="14" t="s">
        <v>2226</v>
      </c>
      <c r="D15" s="14" t="s">
        <v>2227</v>
      </c>
      <c r="E15" s="14" t="s">
        <v>2242</v>
      </c>
      <c r="F15" s="13" t="s">
        <v>240</v>
      </c>
      <c r="G15" s="15">
        <v>19.8</v>
      </c>
      <c r="H15" s="16">
        <v>12</v>
      </c>
      <c r="I15" s="16">
        <v>30</v>
      </c>
      <c r="J15" s="17" t="s">
        <v>241</v>
      </c>
      <c r="K15" s="17">
        <v>0.36270000000000002</v>
      </c>
      <c r="L15" s="17">
        <v>4.3521000000000001</v>
      </c>
      <c r="M15" s="17">
        <v>0.20580000000000001</v>
      </c>
      <c r="N15">
        <f t="shared" si="0"/>
        <v>1595.3303939393938</v>
      </c>
      <c r="O15">
        <f t="shared" si="1"/>
        <v>1493.6964</v>
      </c>
    </row>
    <row r="16" spans="2:16" ht="15" customHeight="1" x14ac:dyDescent="0.25">
      <c r="B16" s="13" t="s">
        <v>2243</v>
      </c>
      <c r="C16" s="14" t="s">
        <v>2226</v>
      </c>
      <c r="D16" s="14" t="s">
        <v>2227</v>
      </c>
      <c r="E16" s="14" t="s">
        <v>2244</v>
      </c>
      <c r="F16" s="13" t="s">
        <v>240</v>
      </c>
      <c r="G16" s="15">
        <v>25.7</v>
      </c>
      <c r="H16" s="16">
        <v>16</v>
      </c>
      <c r="I16" s="16">
        <v>38</v>
      </c>
      <c r="J16" s="17" t="s">
        <v>241</v>
      </c>
      <c r="K16" s="17">
        <v>0.36099999999999999</v>
      </c>
      <c r="L16" s="17">
        <v>5.7763999999999998</v>
      </c>
      <c r="M16" s="17">
        <v>0.1983</v>
      </c>
      <c r="N16">
        <f t="shared" si="0"/>
        <v>1631.3272840466927</v>
      </c>
      <c r="O16">
        <f t="shared" si="1"/>
        <v>1439.2614000000001</v>
      </c>
    </row>
    <row r="17" spans="2:15" ht="15" customHeight="1" x14ac:dyDescent="0.25">
      <c r="B17" s="13" t="s">
        <v>2245</v>
      </c>
      <c r="C17" s="14" t="s">
        <v>2226</v>
      </c>
      <c r="D17" s="14" t="s">
        <v>2227</v>
      </c>
      <c r="E17" s="14" t="s">
        <v>2246</v>
      </c>
      <c r="F17" s="13" t="s">
        <v>240</v>
      </c>
      <c r="G17" s="15">
        <v>28</v>
      </c>
      <c r="H17" s="16">
        <v>17</v>
      </c>
      <c r="I17" s="16">
        <v>41</v>
      </c>
      <c r="J17" s="17" t="s">
        <v>241</v>
      </c>
      <c r="K17" s="17">
        <v>0.37840000000000001</v>
      </c>
      <c r="L17" s="17">
        <v>6.4321999999999999</v>
      </c>
      <c r="M17" s="17">
        <v>0.20760000000000001</v>
      </c>
      <c r="N17">
        <f t="shared" si="0"/>
        <v>1667.3181285714286</v>
      </c>
      <c r="O17">
        <f t="shared" si="1"/>
        <v>1506.7608</v>
      </c>
    </row>
    <row r="18" spans="2:15" ht="15" customHeight="1" x14ac:dyDescent="0.25">
      <c r="B18" s="13" t="s">
        <v>2247</v>
      </c>
      <c r="C18" s="14" t="s">
        <v>2226</v>
      </c>
      <c r="D18" s="14" t="s">
        <v>2227</v>
      </c>
      <c r="E18" s="14" t="s">
        <v>2248</v>
      </c>
      <c r="F18" s="13" t="s">
        <v>240</v>
      </c>
      <c r="G18" s="15">
        <v>33.700000000000003</v>
      </c>
      <c r="H18" s="16">
        <v>22</v>
      </c>
      <c r="I18" s="16">
        <v>51</v>
      </c>
      <c r="J18" s="17" t="s">
        <v>241</v>
      </c>
      <c r="K18" s="17">
        <v>0.37040000000000001</v>
      </c>
      <c r="L18" s="17">
        <v>8.1483000000000008</v>
      </c>
      <c r="M18" s="17">
        <v>0.22170000000000001</v>
      </c>
      <c r="N18">
        <f t="shared" si="0"/>
        <v>1754.9068664688427</v>
      </c>
      <c r="O18">
        <f t="shared" si="1"/>
        <v>1609.0986</v>
      </c>
    </row>
    <row r="19" spans="2:15" ht="15" customHeight="1" x14ac:dyDescent="0.25">
      <c r="B19" s="13" t="s">
        <v>2249</v>
      </c>
      <c r="C19" s="14" t="s">
        <v>2226</v>
      </c>
      <c r="D19" s="14" t="s">
        <v>2227</v>
      </c>
      <c r="E19" s="14" t="s">
        <v>2250</v>
      </c>
      <c r="F19" s="13" t="s">
        <v>240</v>
      </c>
      <c r="G19" s="15">
        <v>41.9</v>
      </c>
      <c r="H19" s="16">
        <v>28</v>
      </c>
      <c r="I19" s="16">
        <v>63</v>
      </c>
      <c r="J19" s="17" t="s">
        <v>241</v>
      </c>
      <c r="K19" s="17">
        <v>0.36759999999999998</v>
      </c>
      <c r="L19" s="17">
        <v>10.292</v>
      </c>
      <c r="M19" s="17">
        <v>0.22020000000000001</v>
      </c>
      <c r="N19">
        <f t="shared" si="0"/>
        <v>1782.800381861575</v>
      </c>
      <c r="O19">
        <f t="shared" si="1"/>
        <v>1598.2116000000001</v>
      </c>
    </row>
    <row r="20" spans="2:15" ht="15" customHeight="1" x14ac:dyDescent="0.25">
      <c r="B20" s="13" t="s">
        <v>2251</v>
      </c>
      <c r="C20" s="14" t="s">
        <v>2226</v>
      </c>
      <c r="D20" s="14" t="s">
        <v>2227</v>
      </c>
      <c r="E20" s="14" t="s">
        <v>2252</v>
      </c>
      <c r="F20" s="13" t="s">
        <v>240</v>
      </c>
      <c r="G20" s="15">
        <v>13.3</v>
      </c>
      <c r="H20" s="16">
        <v>8</v>
      </c>
      <c r="I20" s="16">
        <v>19</v>
      </c>
      <c r="J20" s="17" t="s">
        <v>241</v>
      </c>
      <c r="K20" s="17">
        <v>0.33439999999999998</v>
      </c>
      <c r="L20" s="17">
        <v>2.6753</v>
      </c>
      <c r="M20" s="17">
        <v>0.24279999999999999</v>
      </c>
      <c r="N20">
        <f t="shared" si="0"/>
        <v>1459.9494285714284</v>
      </c>
      <c r="O20">
        <f t="shared" si="1"/>
        <v>1762.2423999999999</v>
      </c>
    </row>
    <row r="21" spans="2:15" ht="15" customHeight="1" x14ac:dyDescent="0.25">
      <c r="B21" s="13" t="s">
        <v>2253</v>
      </c>
      <c r="C21" s="14" t="s">
        <v>2226</v>
      </c>
      <c r="D21" s="14" t="s">
        <v>2227</v>
      </c>
      <c r="E21" s="14" t="s">
        <v>2254</v>
      </c>
      <c r="F21" s="13" t="s">
        <v>240</v>
      </c>
      <c r="G21" s="15">
        <v>20.2</v>
      </c>
      <c r="H21" s="16">
        <v>14</v>
      </c>
      <c r="I21" s="16">
        <v>33</v>
      </c>
      <c r="J21" s="17" t="s">
        <v>241</v>
      </c>
      <c r="K21" s="17">
        <v>0.3644</v>
      </c>
      <c r="L21" s="17">
        <v>5.1014999999999997</v>
      </c>
      <c r="M21" s="17">
        <v>0.24640000000000001</v>
      </c>
      <c r="N21">
        <f t="shared" si="0"/>
        <v>1833.004306930693</v>
      </c>
      <c r="O21">
        <f t="shared" si="1"/>
        <v>1788.3712</v>
      </c>
    </row>
    <row r="22" spans="2:15" ht="15" customHeight="1" x14ac:dyDescent="0.25">
      <c r="B22" s="13" t="s">
        <v>2255</v>
      </c>
      <c r="C22" s="14" t="s">
        <v>2226</v>
      </c>
      <c r="D22" s="14" t="s">
        <v>2227</v>
      </c>
      <c r="E22" s="14" t="s">
        <v>2256</v>
      </c>
      <c r="F22" s="13" t="s">
        <v>240</v>
      </c>
      <c r="G22" s="15">
        <v>20</v>
      </c>
      <c r="H22" s="16">
        <v>12</v>
      </c>
      <c r="I22" s="16">
        <v>30</v>
      </c>
      <c r="J22" s="17" t="s">
        <v>241</v>
      </c>
      <c r="K22" s="17">
        <v>0.42970000000000003</v>
      </c>
      <c r="L22" s="17">
        <v>5.1563999999999997</v>
      </c>
      <c r="M22" s="17">
        <v>0.22919999999999999</v>
      </c>
      <c r="N22">
        <f t="shared" si="0"/>
        <v>1871.25756</v>
      </c>
      <c r="O22">
        <f t="shared" si="1"/>
        <v>1663.5336</v>
      </c>
    </row>
    <row r="23" spans="2:15" ht="15" customHeight="1" x14ac:dyDescent="0.25">
      <c r="B23" s="13" t="s">
        <v>2257</v>
      </c>
      <c r="C23" s="14" t="s">
        <v>2226</v>
      </c>
      <c r="D23" s="14" t="s">
        <v>2227</v>
      </c>
      <c r="E23" s="14" t="s">
        <v>2258</v>
      </c>
      <c r="F23" s="13" t="s">
        <v>240</v>
      </c>
      <c r="G23" s="15">
        <v>30.2</v>
      </c>
      <c r="H23" s="16">
        <v>18</v>
      </c>
      <c r="I23" s="16">
        <v>42</v>
      </c>
      <c r="J23" s="17" t="s">
        <v>241</v>
      </c>
      <c r="K23" s="17">
        <v>0.38700000000000001</v>
      </c>
      <c r="L23" s="17">
        <v>6.9663000000000004</v>
      </c>
      <c r="M23" s="17">
        <v>0.23269999999999999</v>
      </c>
      <c r="N23">
        <f t="shared" si="0"/>
        <v>1674.2187218543047</v>
      </c>
      <c r="O23">
        <f t="shared" si="1"/>
        <v>1688.9366</v>
      </c>
    </row>
    <row r="24" spans="2:15" ht="15" customHeight="1" x14ac:dyDescent="0.25">
      <c r="B24" s="13" t="s">
        <v>2259</v>
      </c>
      <c r="C24" s="14" t="s">
        <v>2226</v>
      </c>
      <c r="D24" s="14" t="s">
        <v>2227</v>
      </c>
      <c r="E24" s="14" t="s">
        <v>2260</v>
      </c>
      <c r="F24" s="13" t="s">
        <v>240</v>
      </c>
      <c r="G24" s="15">
        <v>36.4</v>
      </c>
      <c r="H24" s="16">
        <v>19</v>
      </c>
      <c r="I24" s="16">
        <v>50</v>
      </c>
      <c r="J24" s="17" t="s">
        <v>241</v>
      </c>
      <c r="K24" s="17">
        <v>0.4597</v>
      </c>
      <c r="L24" s="17">
        <v>8.7350999999999992</v>
      </c>
      <c r="M24" s="17">
        <v>0.22720000000000001</v>
      </c>
      <c r="N24">
        <f t="shared" si="0"/>
        <v>1741.7405439560439</v>
      </c>
      <c r="O24">
        <f t="shared" si="1"/>
        <v>1649.0176000000001</v>
      </c>
    </row>
    <row r="25" spans="2:15" ht="15" customHeight="1" x14ac:dyDescent="0.25">
      <c r="B25" s="13" t="s">
        <v>2261</v>
      </c>
      <c r="C25" s="14" t="s">
        <v>2226</v>
      </c>
      <c r="D25" s="14" t="s">
        <v>2227</v>
      </c>
      <c r="E25" s="14" t="s">
        <v>2262</v>
      </c>
      <c r="F25" s="13" t="s">
        <v>240</v>
      </c>
      <c r="G25" s="15">
        <v>38.6</v>
      </c>
      <c r="H25" s="16">
        <v>26</v>
      </c>
      <c r="I25" s="16">
        <v>59</v>
      </c>
      <c r="J25" s="17" t="s">
        <v>241</v>
      </c>
      <c r="K25" s="17">
        <v>0.42059999999999997</v>
      </c>
      <c r="L25" s="17">
        <v>10.935600000000001</v>
      </c>
      <c r="M25" s="17">
        <v>0.28139999999999998</v>
      </c>
      <c r="N25">
        <f t="shared" si="0"/>
        <v>2056.2327668393787</v>
      </c>
      <c r="O25">
        <f t="shared" si="1"/>
        <v>2042.4011999999998</v>
      </c>
    </row>
    <row r="26" spans="2:15" ht="15" customHeight="1" x14ac:dyDescent="0.25">
      <c r="B26" s="13" t="s">
        <v>2263</v>
      </c>
      <c r="C26" s="14" t="s">
        <v>2226</v>
      </c>
      <c r="D26" s="14" t="s">
        <v>2227</v>
      </c>
      <c r="E26" s="14" t="s">
        <v>2264</v>
      </c>
      <c r="F26" s="13" t="s">
        <v>240</v>
      </c>
      <c r="G26" s="15">
        <v>12.5</v>
      </c>
      <c r="H26" s="16">
        <v>8</v>
      </c>
      <c r="I26" s="16">
        <v>20</v>
      </c>
      <c r="J26" s="17" t="s">
        <v>241</v>
      </c>
      <c r="K26" s="17">
        <v>0.29110000000000003</v>
      </c>
      <c r="L26" s="17">
        <v>2.3285</v>
      </c>
      <c r="M26" s="17">
        <v>0.20469999999999999</v>
      </c>
      <c r="N26">
        <f t="shared" si="0"/>
        <v>1352.0202400000001</v>
      </c>
      <c r="O26">
        <f t="shared" si="1"/>
        <v>1485.7125999999998</v>
      </c>
    </row>
    <row r="27" spans="2:15" ht="15" customHeight="1" x14ac:dyDescent="0.25">
      <c r="B27" s="13" t="s">
        <v>2265</v>
      </c>
      <c r="C27" s="14" t="s">
        <v>2226</v>
      </c>
      <c r="D27" s="14" t="s">
        <v>2227</v>
      </c>
      <c r="E27" s="14" t="s">
        <v>2266</v>
      </c>
      <c r="F27" s="13" t="s">
        <v>240</v>
      </c>
      <c r="G27" s="15">
        <v>18</v>
      </c>
      <c r="H27" s="16">
        <v>11</v>
      </c>
      <c r="I27" s="16">
        <v>27</v>
      </c>
      <c r="J27" s="17" t="s">
        <v>241</v>
      </c>
      <c r="K27" s="17">
        <v>0.33479999999999999</v>
      </c>
      <c r="L27" s="17">
        <v>3.6823000000000001</v>
      </c>
      <c r="M27" s="17">
        <v>0.21879999999999999</v>
      </c>
      <c r="N27">
        <f t="shared" si="0"/>
        <v>1484.785188888889</v>
      </c>
      <c r="O27">
        <f t="shared" si="1"/>
        <v>1588.0503999999999</v>
      </c>
    </row>
    <row r="28" spans="2:15" ht="15" customHeight="1" x14ac:dyDescent="0.25">
      <c r="B28" s="13" t="s">
        <v>2267</v>
      </c>
      <c r="C28" s="14" t="s">
        <v>2226</v>
      </c>
      <c r="D28" s="14" t="s">
        <v>2227</v>
      </c>
      <c r="E28" s="14" t="s">
        <v>2268</v>
      </c>
      <c r="F28" s="13" t="s">
        <v>240</v>
      </c>
      <c r="G28" s="15">
        <v>28</v>
      </c>
      <c r="H28" s="16">
        <v>17</v>
      </c>
      <c r="I28" s="16">
        <v>43</v>
      </c>
      <c r="J28" s="17" t="s">
        <v>241</v>
      </c>
      <c r="K28" s="17">
        <v>0.34599999999999997</v>
      </c>
      <c r="L28" s="17">
        <v>5.8819999999999997</v>
      </c>
      <c r="M28" s="17">
        <v>0.1976</v>
      </c>
      <c r="N28">
        <f t="shared" si="0"/>
        <v>1524.6984285714284</v>
      </c>
      <c r="O28">
        <f t="shared" si="1"/>
        <v>1434.1808000000001</v>
      </c>
    </row>
    <row r="29" spans="2:15" ht="15" customHeight="1" x14ac:dyDescent="0.25">
      <c r="B29" s="13" t="s">
        <v>2269</v>
      </c>
      <c r="C29" s="14" t="s">
        <v>2226</v>
      </c>
      <c r="D29" s="14" t="s">
        <v>2227</v>
      </c>
      <c r="E29" s="14" t="s">
        <v>2270</v>
      </c>
      <c r="F29" s="13" t="s">
        <v>240</v>
      </c>
      <c r="G29" s="15">
        <v>25.9</v>
      </c>
      <c r="H29" s="16">
        <v>15</v>
      </c>
      <c r="I29" s="16">
        <v>35</v>
      </c>
      <c r="J29" s="17" t="s">
        <v>241</v>
      </c>
      <c r="K29" s="17">
        <v>0.36890000000000001</v>
      </c>
      <c r="L29" s="17">
        <v>5.5331999999999999</v>
      </c>
      <c r="M29" s="17">
        <v>0.26519999999999999</v>
      </c>
      <c r="N29">
        <f t="shared" si="0"/>
        <v>1550.5778223938223</v>
      </c>
      <c r="O29">
        <f t="shared" si="1"/>
        <v>1924.8216</v>
      </c>
    </row>
    <row r="30" spans="2:15" ht="15" customHeight="1" x14ac:dyDescent="0.25">
      <c r="B30" s="13" t="s">
        <v>2271</v>
      </c>
      <c r="C30" s="14" t="s">
        <v>2226</v>
      </c>
      <c r="D30" s="14" t="s">
        <v>2227</v>
      </c>
      <c r="E30" s="14" t="s">
        <v>2272</v>
      </c>
      <c r="F30" s="13" t="s">
        <v>240</v>
      </c>
      <c r="G30" s="15">
        <v>37.5</v>
      </c>
      <c r="H30" s="16">
        <v>21</v>
      </c>
      <c r="I30" s="16">
        <v>55</v>
      </c>
      <c r="J30" s="17" t="s">
        <v>241</v>
      </c>
      <c r="K30" s="17">
        <v>0.42630000000000001</v>
      </c>
      <c r="L30" s="17">
        <v>8.9527999999999999</v>
      </c>
      <c r="M30" s="17">
        <v>0.25719999999999998</v>
      </c>
      <c r="N30">
        <f t="shared" si="0"/>
        <v>1732.7845973333333</v>
      </c>
      <c r="O30">
        <f t="shared" si="1"/>
        <v>1866.7575999999999</v>
      </c>
    </row>
    <row r="31" spans="2:15" ht="15" customHeight="1" x14ac:dyDescent="0.25">
      <c r="B31" s="13" t="s">
        <v>2273</v>
      </c>
      <c r="C31" s="14" t="s">
        <v>2226</v>
      </c>
      <c r="D31" s="14" t="s">
        <v>2227</v>
      </c>
      <c r="E31" s="14" t="s">
        <v>2274</v>
      </c>
      <c r="F31" s="13" t="s">
        <v>240</v>
      </c>
      <c r="G31" s="15">
        <v>52.9</v>
      </c>
      <c r="H31" s="16">
        <v>35</v>
      </c>
      <c r="I31" s="16">
        <v>73</v>
      </c>
      <c r="J31" s="17" t="s">
        <v>241</v>
      </c>
      <c r="K31" s="17">
        <v>0.40600000000000003</v>
      </c>
      <c r="L31" s="17">
        <v>14.209099999999999</v>
      </c>
      <c r="M31" s="17">
        <v>0.25140000000000001</v>
      </c>
      <c r="N31">
        <f t="shared" si="0"/>
        <v>1949.5207523629488</v>
      </c>
      <c r="O31">
        <f t="shared" si="1"/>
        <v>1824.6612</v>
      </c>
    </row>
    <row r="32" spans="2:15" ht="15" customHeight="1" x14ac:dyDescent="0.25">
      <c r="B32" s="13" t="s">
        <v>2275</v>
      </c>
      <c r="C32" s="14" t="s">
        <v>2226</v>
      </c>
      <c r="D32" s="14" t="s">
        <v>2227</v>
      </c>
      <c r="E32" s="14" t="s">
        <v>2276</v>
      </c>
      <c r="F32" s="13" t="s">
        <v>240</v>
      </c>
      <c r="G32" s="15">
        <v>27.3</v>
      </c>
      <c r="H32" s="16">
        <v>18</v>
      </c>
      <c r="I32" s="16">
        <v>42</v>
      </c>
      <c r="J32" s="17" t="s">
        <v>241</v>
      </c>
      <c r="K32" s="17">
        <v>0.3306</v>
      </c>
      <c r="L32" s="17">
        <v>5.9512</v>
      </c>
      <c r="M32" s="17">
        <v>0.1908</v>
      </c>
      <c r="N32">
        <f t="shared" si="0"/>
        <v>1582.1908278388278</v>
      </c>
      <c r="O32">
        <f t="shared" si="1"/>
        <v>1384.8263999999999</v>
      </c>
    </row>
    <row r="33" spans="2:15" ht="15" customHeight="1" x14ac:dyDescent="0.25">
      <c r="B33" s="13" t="s">
        <v>2277</v>
      </c>
      <c r="C33" s="14" t="s">
        <v>2226</v>
      </c>
      <c r="D33" s="14" t="s">
        <v>2227</v>
      </c>
      <c r="E33" s="14" t="s">
        <v>2278</v>
      </c>
      <c r="F33" s="13" t="s">
        <v>240</v>
      </c>
      <c r="G33" s="15">
        <v>12.7</v>
      </c>
      <c r="H33" s="16">
        <v>9</v>
      </c>
      <c r="I33" s="16">
        <v>19</v>
      </c>
      <c r="J33" s="17" t="s">
        <v>241</v>
      </c>
      <c r="K33" s="17">
        <v>0.29699999999999999</v>
      </c>
      <c r="L33" s="17">
        <v>2.6726000000000001</v>
      </c>
      <c r="M33" s="17">
        <v>0.1754</v>
      </c>
      <c r="N33">
        <f t="shared" si="0"/>
        <v>1527.3803779527561</v>
      </c>
      <c r="O33">
        <f t="shared" si="1"/>
        <v>1273.0532000000001</v>
      </c>
    </row>
    <row r="34" spans="2:15" ht="15" customHeight="1" x14ac:dyDescent="0.25">
      <c r="B34" s="13" t="s">
        <v>2279</v>
      </c>
      <c r="C34" s="14" t="s">
        <v>2226</v>
      </c>
      <c r="D34" s="14" t="s">
        <v>2227</v>
      </c>
      <c r="E34" s="14" t="s">
        <v>2280</v>
      </c>
      <c r="F34" s="13" t="s">
        <v>240</v>
      </c>
      <c r="G34" s="15">
        <v>16</v>
      </c>
      <c r="H34" s="16">
        <v>10</v>
      </c>
      <c r="I34" s="16">
        <v>25</v>
      </c>
      <c r="J34" s="17" t="s">
        <v>241</v>
      </c>
      <c r="K34" s="17">
        <v>0.32119999999999999</v>
      </c>
      <c r="L34" s="17">
        <v>3.2119</v>
      </c>
      <c r="M34" s="17">
        <v>0.18310000000000001</v>
      </c>
      <c r="N34">
        <f t="shared" si="0"/>
        <v>1456.9981375</v>
      </c>
      <c r="O34">
        <f t="shared" si="1"/>
        <v>1328.9398000000001</v>
      </c>
    </row>
    <row r="35" spans="2:15" ht="15" customHeight="1" x14ac:dyDescent="0.25">
      <c r="B35" s="13" t="s">
        <v>2281</v>
      </c>
      <c r="C35" s="14" t="s">
        <v>2226</v>
      </c>
      <c r="D35" s="14" t="s">
        <v>2227</v>
      </c>
      <c r="E35" s="14" t="s">
        <v>2282</v>
      </c>
      <c r="F35" s="13" t="s">
        <v>240</v>
      </c>
      <c r="G35" s="15">
        <v>18.3</v>
      </c>
      <c r="H35" s="16">
        <v>11</v>
      </c>
      <c r="I35" s="16">
        <v>27</v>
      </c>
      <c r="J35" s="17" t="s">
        <v>241</v>
      </c>
      <c r="K35" s="17">
        <v>0.3427</v>
      </c>
      <c r="L35" s="17">
        <v>3.77</v>
      </c>
      <c r="M35" s="17">
        <v>0.18379999999999999</v>
      </c>
      <c r="N35">
        <f t="shared" si="0"/>
        <v>1495.2273224043715</v>
      </c>
      <c r="O35">
        <f t="shared" si="1"/>
        <v>1334.0203999999999</v>
      </c>
    </row>
    <row r="36" spans="2:15" ht="15" customHeight="1" x14ac:dyDescent="0.25">
      <c r="B36" s="13" t="s">
        <v>2283</v>
      </c>
      <c r="C36" s="14" t="s">
        <v>2226</v>
      </c>
      <c r="D36" s="14" t="s">
        <v>2227</v>
      </c>
      <c r="E36" s="14" t="s">
        <v>2284</v>
      </c>
      <c r="F36" s="13" t="s">
        <v>240</v>
      </c>
      <c r="G36" s="15">
        <v>20.5</v>
      </c>
      <c r="H36" s="16">
        <v>13</v>
      </c>
      <c r="I36" s="16">
        <v>31</v>
      </c>
      <c r="J36" s="17" t="s">
        <v>241</v>
      </c>
      <c r="K36" s="17">
        <v>0.35120000000000001</v>
      </c>
      <c r="L36" s="17">
        <v>4.5655000000000001</v>
      </c>
      <c r="M36" s="17">
        <v>0.1883</v>
      </c>
      <c r="N36">
        <f t="shared" si="0"/>
        <v>1616.4097073170731</v>
      </c>
      <c r="O36">
        <f t="shared" si="1"/>
        <v>1366.6813999999999</v>
      </c>
    </row>
    <row r="37" spans="2:15" ht="15" customHeight="1" x14ac:dyDescent="0.25">
      <c r="B37" s="13" t="s">
        <v>2285</v>
      </c>
      <c r="C37" s="14" t="s">
        <v>2226</v>
      </c>
      <c r="D37" s="14" t="s">
        <v>2227</v>
      </c>
      <c r="E37" s="14" t="s">
        <v>2286</v>
      </c>
      <c r="F37" s="13" t="s">
        <v>240</v>
      </c>
      <c r="G37" s="15">
        <v>8.9</v>
      </c>
      <c r="H37" s="16">
        <v>7</v>
      </c>
      <c r="I37" s="16">
        <v>13</v>
      </c>
      <c r="J37" s="17" t="s">
        <v>241</v>
      </c>
      <c r="K37" s="17">
        <v>0.26100000000000001</v>
      </c>
      <c r="L37" s="17">
        <v>1.8271999999999999</v>
      </c>
      <c r="M37" s="17">
        <v>0.14760000000000001</v>
      </c>
      <c r="N37">
        <f t="shared" si="0"/>
        <v>1490.0918651685392</v>
      </c>
      <c r="O37">
        <f t="shared" si="1"/>
        <v>1071.2808</v>
      </c>
    </row>
    <row r="38" spans="2:15" ht="15" customHeight="1" x14ac:dyDescent="0.25">
      <c r="B38" s="13" t="s">
        <v>2287</v>
      </c>
      <c r="C38" s="14" t="s">
        <v>2226</v>
      </c>
      <c r="D38" s="14" t="s">
        <v>2227</v>
      </c>
      <c r="E38" s="14" t="s">
        <v>2288</v>
      </c>
      <c r="F38" s="13" t="s">
        <v>240</v>
      </c>
      <c r="G38" s="15">
        <v>11.8</v>
      </c>
      <c r="H38" s="16">
        <v>7</v>
      </c>
      <c r="I38" s="16">
        <v>18</v>
      </c>
      <c r="J38" s="17" t="s">
        <v>241</v>
      </c>
      <c r="K38" s="17">
        <v>0.35599999999999998</v>
      </c>
      <c r="L38" s="17">
        <v>2.4916999999999998</v>
      </c>
      <c r="M38" s="17">
        <v>0.1847</v>
      </c>
      <c r="N38">
        <f t="shared" si="0"/>
        <v>1532.6066610169489</v>
      </c>
      <c r="O38">
        <f t="shared" si="1"/>
        <v>1340.5526</v>
      </c>
    </row>
    <row r="39" spans="2:15" ht="15" customHeight="1" x14ac:dyDescent="0.25">
      <c r="B39" s="13" t="s">
        <v>2289</v>
      </c>
      <c r="C39" s="14" t="s">
        <v>2226</v>
      </c>
      <c r="D39" s="14" t="s">
        <v>2227</v>
      </c>
      <c r="E39" s="14" t="s">
        <v>2290</v>
      </c>
      <c r="F39" s="13" t="s">
        <v>240</v>
      </c>
      <c r="G39" s="15">
        <v>17.8</v>
      </c>
      <c r="H39" s="16">
        <v>11</v>
      </c>
      <c r="I39" s="16">
        <v>27</v>
      </c>
      <c r="J39" s="17" t="s">
        <v>241</v>
      </c>
      <c r="K39" s="17">
        <v>0.35410000000000003</v>
      </c>
      <c r="L39" s="17">
        <v>3.8946000000000001</v>
      </c>
      <c r="M39" s="17">
        <v>0.20030000000000001</v>
      </c>
      <c r="N39">
        <f t="shared" si="0"/>
        <v>1588.0340898876404</v>
      </c>
      <c r="O39">
        <f t="shared" si="1"/>
        <v>1453.7773999999999</v>
      </c>
    </row>
    <row r="40" spans="2:15" ht="15" customHeight="1" x14ac:dyDescent="0.25">
      <c r="B40" s="13" t="s">
        <v>2291</v>
      </c>
      <c r="C40" s="14" t="s">
        <v>2226</v>
      </c>
      <c r="D40" s="14" t="s">
        <v>2227</v>
      </c>
      <c r="E40" s="14" t="s">
        <v>2292</v>
      </c>
      <c r="F40" s="13" t="s">
        <v>240</v>
      </c>
      <c r="G40" s="15">
        <v>13</v>
      </c>
      <c r="H40" s="16">
        <v>8</v>
      </c>
      <c r="I40" s="16">
        <v>20</v>
      </c>
      <c r="J40" s="17" t="s">
        <v>241</v>
      </c>
      <c r="K40" s="17">
        <v>0.31180000000000002</v>
      </c>
      <c r="L40" s="17">
        <v>2.4940000000000002</v>
      </c>
      <c r="M40" s="17">
        <v>0.1893</v>
      </c>
      <c r="N40">
        <f t="shared" si="0"/>
        <v>1392.4193846153846</v>
      </c>
      <c r="O40">
        <f t="shared" si="1"/>
        <v>1373.9394</v>
      </c>
    </row>
    <row r="41" spans="2:15" ht="15" customHeight="1" x14ac:dyDescent="0.25">
      <c r="B41" s="13" t="s">
        <v>2293</v>
      </c>
      <c r="C41" s="14" t="s">
        <v>2226</v>
      </c>
      <c r="D41" s="14" t="s">
        <v>2227</v>
      </c>
      <c r="E41" s="14" t="s">
        <v>2294</v>
      </c>
      <c r="F41" s="13" t="s">
        <v>240</v>
      </c>
      <c r="G41" s="15">
        <v>16.2</v>
      </c>
      <c r="H41" s="16">
        <v>11</v>
      </c>
      <c r="I41" s="16">
        <v>24</v>
      </c>
      <c r="J41" s="17" t="s">
        <v>241</v>
      </c>
      <c r="K41" s="17">
        <v>0.33200000000000002</v>
      </c>
      <c r="L41" s="17">
        <v>3.6516000000000002</v>
      </c>
      <c r="M41" s="17">
        <v>0.18720000000000001</v>
      </c>
      <c r="N41">
        <f t="shared" si="0"/>
        <v>1636.0069629629629</v>
      </c>
      <c r="O41">
        <f t="shared" si="1"/>
        <v>1358.6976</v>
      </c>
    </row>
    <row r="42" spans="2:15" ht="15" customHeight="1" x14ac:dyDescent="0.25">
      <c r="B42" s="13" t="s">
        <v>2295</v>
      </c>
      <c r="C42" s="14" t="s">
        <v>2226</v>
      </c>
      <c r="D42" s="14" t="s">
        <v>2227</v>
      </c>
      <c r="E42" s="14" t="s">
        <v>2296</v>
      </c>
      <c r="F42" s="13" t="s">
        <v>240</v>
      </c>
      <c r="G42" s="15">
        <v>24.4</v>
      </c>
      <c r="H42" s="16">
        <v>14</v>
      </c>
      <c r="I42" s="16">
        <v>33</v>
      </c>
      <c r="J42" s="17" t="s">
        <v>241</v>
      </c>
      <c r="K42" s="17">
        <v>0.35049999999999998</v>
      </c>
      <c r="L42" s="17">
        <v>4.9069000000000003</v>
      </c>
      <c r="M42" s="17">
        <v>0.20630000000000001</v>
      </c>
      <c r="N42">
        <f t="shared" si="0"/>
        <v>1459.6016475409838</v>
      </c>
      <c r="O42">
        <f t="shared" si="1"/>
        <v>1497.3254000000002</v>
      </c>
    </row>
    <row r="43" spans="2:15" ht="15" customHeight="1" x14ac:dyDescent="0.25">
      <c r="B43" s="13" t="s">
        <v>2297</v>
      </c>
      <c r="C43" s="14" t="s">
        <v>2226</v>
      </c>
      <c r="D43" s="14" t="s">
        <v>2227</v>
      </c>
      <c r="E43" s="14" t="s">
        <v>2298</v>
      </c>
      <c r="F43" s="13" t="s">
        <v>240</v>
      </c>
      <c r="G43" s="15">
        <v>11.1</v>
      </c>
      <c r="H43" s="16">
        <v>7</v>
      </c>
      <c r="I43" s="16">
        <v>16</v>
      </c>
      <c r="J43" s="17" t="s">
        <v>241</v>
      </c>
      <c r="K43" s="17">
        <v>0.3135</v>
      </c>
      <c r="L43" s="17">
        <v>2.1943000000000001</v>
      </c>
      <c r="M43" s="17">
        <v>0.23710000000000001</v>
      </c>
      <c r="N43">
        <f t="shared" si="0"/>
        <v>1434.7954414414414</v>
      </c>
      <c r="O43">
        <f t="shared" si="1"/>
        <v>1720.8718000000001</v>
      </c>
    </row>
    <row r="44" spans="2:15" ht="15" customHeight="1" x14ac:dyDescent="0.25">
      <c r="B44" s="13" t="s">
        <v>2299</v>
      </c>
      <c r="C44" s="14" t="s">
        <v>2226</v>
      </c>
      <c r="D44" s="14" t="s">
        <v>2227</v>
      </c>
      <c r="E44" s="14" t="s">
        <v>2300</v>
      </c>
      <c r="F44" s="13" t="s">
        <v>240</v>
      </c>
      <c r="G44" s="15">
        <v>14.9</v>
      </c>
      <c r="H44" s="16">
        <v>9</v>
      </c>
      <c r="I44" s="16">
        <v>23</v>
      </c>
      <c r="J44" s="17" t="s">
        <v>241</v>
      </c>
      <c r="K44" s="17">
        <v>0.3211</v>
      </c>
      <c r="L44" s="17">
        <v>2.8902000000000001</v>
      </c>
      <c r="M44" s="17">
        <v>0.1673</v>
      </c>
      <c r="N44">
        <f t="shared" si="0"/>
        <v>1407.8571543624159</v>
      </c>
      <c r="O44">
        <f t="shared" si="1"/>
        <v>1214.2634</v>
      </c>
    </row>
    <row r="45" spans="2:15" ht="15" customHeight="1" x14ac:dyDescent="0.25">
      <c r="B45" s="13" t="s">
        <v>2301</v>
      </c>
      <c r="C45" s="14" t="s">
        <v>2226</v>
      </c>
      <c r="D45" s="14" t="s">
        <v>2227</v>
      </c>
      <c r="E45" s="14" t="s">
        <v>2302</v>
      </c>
      <c r="F45" s="13" t="s">
        <v>240</v>
      </c>
      <c r="G45" s="15">
        <v>22</v>
      </c>
      <c r="H45" s="16">
        <v>14</v>
      </c>
      <c r="I45" s="16">
        <v>34</v>
      </c>
      <c r="J45" s="17" t="s">
        <v>241</v>
      </c>
      <c r="K45" s="17">
        <v>0.35010000000000002</v>
      </c>
      <c r="L45" s="17">
        <v>4.9020999999999999</v>
      </c>
      <c r="M45" s="17">
        <v>0.20619999999999999</v>
      </c>
      <c r="N45">
        <f t="shared" si="0"/>
        <v>1617.2473545454545</v>
      </c>
      <c r="O45">
        <f t="shared" si="1"/>
        <v>1496.5996</v>
      </c>
    </row>
    <row r="46" spans="2:15" ht="15" customHeight="1" x14ac:dyDescent="0.25">
      <c r="B46" s="13" t="s">
        <v>2303</v>
      </c>
      <c r="C46" s="14" t="s">
        <v>2226</v>
      </c>
      <c r="D46" s="14" t="s">
        <v>2227</v>
      </c>
      <c r="E46" s="14" t="s">
        <v>2304</v>
      </c>
      <c r="F46" s="13" t="s">
        <v>240</v>
      </c>
      <c r="G46" s="15">
        <v>20</v>
      </c>
      <c r="H46" s="16">
        <v>11</v>
      </c>
      <c r="I46" s="16">
        <v>27</v>
      </c>
      <c r="J46" s="17" t="s">
        <v>241</v>
      </c>
      <c r="K46" s="17">
        <v>0.439</v>
      </c>
      <c r="L46" s="17">
        <v>4.8292999999999999</v>
      </c>
      <c r="M46" s="17">
        <v>0.2727</v>
      </c>
      <c r="N46">
        <f t="shared" si="0"/>
        <v>1752.55297</v>
      </c>
      <c r="O46">
        <f t="shared" si="1"/>
        <v>1979.2565999999999</v>
      </c>
    </row>
    <row r="47" spans="2:15" ht="15" customHeight="1" x14ac:dyDescent="0.25">
      <c r="B47" s="13" t="s">
        <v>2305</v>
      </c>
      <c r="C47" s="14" t="s">
        <v>2226</v>
      </c>
      <c r="D47" s="14" t="s">
        <v>2227</v>
      </c>
      <c r="E47" s="14" t="s">
        <v>2306</v>
      </c>
      <c r="F47" s="13" t="s">
        <v>240</v>
      </c>
      <c r="G47" s="15">
        <v>37.9</v>
      </c>
      <c r="H47" s="16">
        <v>23</v>
      </c>
      <c r="I47" s="16">
        <v>53</v>
      </c>
      <c r="J47" s="17" t="s">
        <v>241</v>
      </c>
      <c r="K47" s="17">
        <v>0.4098</v>
      </c>
      <c r="L47" s="17">
        <v>9.4245999999999999</v>
      </c>
      <c r="M47" s="17">
        <v>0.26250000000000001</v>
      </c>
      <c r="N47">
        <f t="shared" si="0"/>
        <v>1804.8482005277044</v>
      </c>
      <c r="O47">
        <f t="shared" si="1"/>
        <v>1905.2250000000001</v>
      </c>
    </row>
    <row r="48" spans="2:15" ht="15" customHeight="1" x14ac:dyDescent="0.25">
      <c r="B48" s="13" t="s">
        <v>2307</v>
      </c>
      <c r="C48" s="14" t="s">
        <v>2226</v>
      </c>
      <c r="D48" s="14" t="s">
        <v>2227</v>
      </c>
      <c r="E48" s="14" t="s">
        <v>2308</v>
      </c>
      <c r="F48" s="13" t="s">
        <v>240</v>
      </c>
      <c r="G48" s="15">
        <v>11.8</v>
      </c>
      <c r="H48" s="16">
        <v>7</v>
      </c>
      <c r="I48" s="16">
        <v>18</v>
      </c>
      <c r="J48" s="17" t="s">
        <v>241</v>
      </c>
      <c r="K48" s="17">
        <v>0.30990000000000001</v>
      </c>
      <c r="L48" s="17">
        <v>2.1692</v>
      </c>
      <c r="M48" s="17">
        <v>0.19450000000000001</v>
      </c>
      <c r="N48">
        <f t="shared" si="0"/>
        <v>1334.2418305084743</v>
      </c>
      <c r="O48">
        <f t="shared" si="1"/>
        <v>1411.681</v>
      </c>
    </row>
    <row r="49" spans="2:15" ht="15" customHeight="1" x14ac:dyDescent="0.25">
      <c r="B49" s="13" t="s">
        <v>2309</v>
      </c>
      <c r="C49" s="14" t="s">
        <v>2226</v>
      </c>
      <c r="D49" s="14" t="s">
        <v>2227</v>
      </c>
      <c r="E49" s="14" t="s">
        <v>2310</v>
      </c>
      <c r="F49" s="13" t="s">
        <v>240</v>
      </c>
      <c r="G49" s="15">
        <v>13.8</v>
      </c>
      <c r="H49" s="16">
        <v>8</v>
      </c>
      <c r="I49" s="16">
        <v>21</v>
      </c>
      <c r="J49" s="17" t="s">
        <v>241</v>
      </c>
      <c r="K49" s="17">
        <v>0.32479999999999998</v>
      </c>
      <c r="L49" s="17">
        <v>2.5979999999999999</v>
      </c>
      <c r="M49" s="17">
        <v>0.19239999999999999</v>
      </c>
      <c r="N49">
        <f t="shared" si="0"/>
        <v>1366.3973913043478</v>
      </c>
      <c r="O49">
        <f t="shared" si="1"/>
        <v>1396.4391999999998</v>
      </c>
    </row>
    <row r="50" spans="2:15" ht="15" customHeight="1" x14ac:dyDescent="0.25">
      <c r="B50" s="13" t="s">
        <v>2311</v>
      </c>
      <c r="C50" s="14" t="s">
        <v>2226</v>
      </c>
      <c r="D50" s="14" t="s">
        <v>2227</v>
      </c>
      <c r="E50" s="14" t="s">
        <v>2312</v>
      </c>
      <c r="F50" s="13" t="s">
        <v>240</v>
      </c>
      <c r="G50" s="15">
        <v>14.7</v>
      </c>
      <c r="H50" s="16">
        <v>9</v>
      </c>
      <c r="I50" s="16">
        <v>22</v>
      </c>
      <c r="J50" s="17" t="s">
        <v>241</v>
      </c>
      <c r="K50" s="17">
        <v>0.3342</v>
      </c>
      <c r="L50" s="17">
        <v>3.0081000000000002</v>
      </c>
      <c r="M50" s="17">
        <v>0.1913</v>
      </c>
      <c r="N50">
        <f t="shared" si="0"/>
        <v>1485.2237959183676</v>
      </c>
      <c r="O50">
        <f t="shared" si="1"/>
        <v>1388.4554000000001</v>
      </c>
    </row>
    <row r="51" spans="2:15" ht="15" customHeight="1" x14ac:dyDescent="0.25">
      <c r="B51" s="13" t="s">
        <v>2313</v>
      </c>
      <c r="C51" s="14" t="s">
        <v>2226</v>
      </c>
      <c r="D51" s="14" t="s">
        <v>2227</v>
      </c>
      <c r="E51" s="14" t="s">
        <v>2314</v>
      </c>
      <c r="F51" s="13" t="s">
        <v>240</v>
      </c>
      <c r="G51" s="15">
        <v>16.3</v>
      </c>
      <c r="H51" s="16">
        <v>10</v>
      </c>
      <c r="I51" s="16">
        <v>25</v>
      </c>
      <c r="J51" s="17" t="s">
        <v>241</v>
      </c>
      <c r="K51" s="17">
        <v>0.36030000000000001</v>
      </c>
      <c r="L51" s="17">
        <v>3.6027999999999998</v>
      </c>
      <c r="M51" s="17">
        <v>0.20780000000000001</v>
      </c>
      <c r="N51">
        <f t="shared" si="0"/>
        <v>1604.2406380368097</v>
      </c>
      <c r="O51">
        <f t="shared" si="1"/>
        <v>1508.2124000000001</v>
      </c>
    </row>
    <row r="52" spans="2:15" ht="15" customHeight="1" x14ac:dyDescent="0.25">
      <c r="B52" s="13" t="s">
        <v>2315</v>
      </c>
      <c r="C52" s="14" t="s">
        <v>2226</v>
      </c>
      <c r="D52" s="14" t="s">
        <v>2227</v>
      </c>
      <c r="E52" s="14" t="s">
        <v>2316</v>
      </c>
      <c r="F52" s="13" t="s">
        <v>240</v>
      </c>
      <c r="G52" s="15">
        <v>19.8</v>
      </c>
      <c r="H52" s="16">
        <v>12</v>
      </c>
      <c r="I52" s="16">
        <v>30</v>
      </c>
      <c r="J52" s="17" t="s">
        <v>241</v>
      </c>
      <c r="K52" s="17">
        <v>0.3624</v>
      </c>
      <c r="L52" s="17">
        <v>4.3482000000000003</v>
      </c>
      <c r="M52" s="17">
        <v>0.20130000000000001</v>
      </c>
      <c r="N52">
        <f t="shared" si="0"/>
        <v>1593.9007878787879</v>
      </c>
      <c r="O52">
        <f t="shared" si="1"/>
        <v>1461.0354</v>
      </c>
    </row>
    <row r="53" spans="2:15" ht="15" customHeight="1" x14ac:dyDescent="0.25">
      <c r="B53" s="13" t="s">
        <v>2317</v>
      </c>
      <c r="C53" s="14" t="s">
        <v>2226</v>
      </c>
      <c r="D53" s="14" t="s">
        <v>2227</v>
      </c>
      <c r="E53" s="14" t="s">
        <v>2318</v>
      </c>
      <c r="F53" s="13" t="s">
        <v>240</v>
      </c>
      <c r="G53" s="15">
        <v>14.9</v>
      </c>
      <c r="H53" s="16">
        <v>9</v>
      </c>
      <c r="I53" s="16">
        <v>21</v>
      </c>
      <c r="J53" s="17" t="s">
        <v>241</v>
      </c>
      <c r="K53" s="17">
        <v>0.28860000000000002</v>
      </c>
      <c r="L53" s="17">
        <v>2.5977000000000001</v>
      </c>
      <c r="M53" s="17">
        <v>0.21970000000000001</v>
      </c>
      <c r="N53">
        <f t="shared" si="0"/>
        <v>1265.3762818791945</v>
      </c>
      <c r="O53">
        <f t="shared" si="1"/>
        <v>1594.5826</v>
      </c>
    </row>
    <row r="54" spans="2:15" ht="15" customHeight="1" x14ac:dyDescent="0.25">
      <c r="B54" s="13" t="s">
        <v>2319</v>
      </c>
      <c r="C54" s="14" t="s">
        <v>2226</v>
      </c>
      <c r="D54" s="14" t="s">
        <v>2227</v>
      </c>
      <c r="E54" s="14" t="s">
        <v>2320</v>
      </c>
      <c r="F54" s="13" t="s">
        <v>240</v>
      </c>
      <c r="G54" s="15">
        <v>17.100000000000001</v>
      </c>
      <c r="H54" s="16">
        <v>10</v>
      </c>
      <c r="I54" s="16">
        <v>25</v>
      </c>
      <c r="J54" s="17" t="s">
        <v>241</v>
      </c>
      <c r="K54" s="17">
        <v>0.36030000000000001</v>
      </c>
      <c r="L54" s="17">
        <v>3.6027</v>
      </c>
      <c r="M54" s="17">
        <v>0.21310000000000001</v>
      </c>
      <c r="N54">
        <f t="shared" si="0"/>
        <v>1529.146</v>
      </c>
      <c r="O54">
        <f t="shared" si="1"/>
        <v>1546.6798000000001</v>
      </c>
    </row>
    <row r="55" spans="2:15" ht="15" customHeight="1" x14ac:dyDescent="0.25">
      <c r="B55" s="13" t="s">
        <v>2321</v>
      </c>
      <c r="C55" s="14" t="s">
        <v>2226</v>
      </c>
      <c r="D55" s="14" t="s">
        <v>2227</v>
      </c>
      <c r="E55" s="14" t="s">
        <v>2322</v>
      </c>
      <c r="F55" s="13" t="s">
        <v>240</v>
      </c>
      <c r="G55" s="15">
        <v>25.7</v>
      </c>
      <c r="H55" s="16">
        <v>15</v>
      </c>
      <c r="I55" s="16">
        <v>35</v>
      </c>
      <c r="J55" s="17" t="s">
        <v>241</v>
      </c>
      <c r="K55" s="17">
        <v>0.35070000000000001</v>
      </c>
      <c r="L55" s="17">
        <v>5.2602000000000002</v>
      </c>
      <c r="M55" s="17">
        <v>0.2336</v>
      </c>
      <c r="N55">
        <f t="shared" si="0"/>
        <v>1485.5459766536967</v>
      </c>
      <c r="O55">
        <f t="shared" si="1"/>
        <v>1695.4688000000001</v>
      </c>
    </row>
    <row r="56" spans="2:15" ht="15" customHeight="1" x14ac:dyDescent="0.25">
      <c r="B56" s="13" t="s">
        <v>2323</v>
      </c>
      <c r="C56" s="14" t="s">
        <v>2226</v>
      </c>
      <c r="D56" s="14" t="s">
        <v>2227</v>
      </c>
      <c r="E56" s="14" t="s">
        <v>2324</v>
      </c>
      <c r="F56" s="13" t="s">
        <v>290</v>
      </c>
      <c r="G56" s="15">
        <v>1</v>
      </c>
      <c r="H56" s="16" t="s">
        <v>241</v>
      </c>
      <c r="I56" s="16" t="s">
        <v>241</v>
      </c>
      <c r="J56" s="17">
        <v>0.1668</v>
      </c>
      <c r="K56" s="17" t="s">
        <v>241</v>
      </c>
      <c r="L56" s="17" t="s">
        <v>241</v>
      </c>
      <c r="M56" s="17" t="s">
        <v>241</v>
      </c>
      <c r="N56" t="e">
        <f t="shared" si="0"/>
        <v>#VALUE!</v>
      </c>
      <c r="O56" t="e">
        <f t="shared" si="1"/>
        <v>#VALUE!</v>
      </c>
    </row>
    <row r="57" spans="2:15" ht="15" customHeight="1" x14ac:dyDescent="0.25">
      <c r="B57" s="13" t="s">
        <v>2325</v>
      </c>
      <c r="C57" s="14" t="s">
        <v>2226</v>
      </c>
      <c r="D57" s="14" t="s">
        <v>2326</v>
      </c>
      <c r="E57" s="14" t="s">
        <v>2327</v>
      </c>
      <c r="F57" s="13" t="s">
        <v>240</v>
      </c>
      <c r="G57" s="15">
        <v>21.3</v>
      </c>
      <c r="H57" s="16">
        <v>14</v>
      </c>
      <c r="I57" s="16">
        <v>33</v>
      </c>
      <c r="J57" s="17" t="s">
        <v>241</v>
      </c>
      <c r="K57" s="17">
        <v>0.89680000000000004</v>
      </c>
      <c r="L57" s="17">
        <v>12.5549</v>
      </c>
      <c r="M57" s="17">
        <v>0.58309999999999995</v>
      </c>
      <c r="N57">
        <f t="shared" si="0"/>
        <v>4278.0969107981218</v>
      </c>
      <c r="O57">
        <f t="shared" si="1"/>
        <v>4232.1397999999999</v>
      </c>
    </row>
    <row r="58" spans="2:15" ht="15" customHeight="1" x14ac:dyDescent="0.25">
      <c r="B58" s="13" t="s">
        <v>2328</v>
      </c>
      <c r="C58" s="14" t="s">
        <v>2226</v>
      </c>
      <c r="D58" s="14" t="s">
        <v>2326</v>
      </c>
      <c r="E58" s="14" t="s">
        <v>2329</v>
      </c>
      <c r="F58" s="13" t="s">
        <v>240</v>
      </c>
      <c r="G58" s="15">
        <v>54.7</v>
      </c>
      <c r="H58" s="16">
        <v>22</v>
      </c>
      <c r="I58" s="16">
        <v>75</v>
      </c>
      <c r="J58" s="17" t="s">
        <v>241</v>
      </c>
      <c r="K58" s="17">
        <v>0.98419999999999996</v>
      </c>
      <c r="L58" s="17">
        <v>21.652999999999999</v>
      </c>
      <c r="M58" s="17">
        <v>0.3574</v>
      </c>
      <c r="N58">
        <f t="shared" si="0"/>
        <v>2873.0799634369282</v>
      </c>
      <c r="O58">
        <f t="shared" si="1"/>
        <v>2594.0092</v>
      </c>
    </row>
    <row r="59" spans="2:15" ht="15" customHeight="1" x14ac:dyDescent="0.25">
      <c r="B59" s="13" t="s">
        <v>2330</v>
      </c>
      <c r="C59" s="14" t="s">
        <v>2226</v>
      </c>
      <c r="D59" s="14" t="s">
        <v>2326</v>
      </c>
      <c r="E59" s="14" t="s">
        <v>2331</v>
      </c>
      <c r="F59" s="13" t="s">
        <v>240</v>
      </c>
      <c r="G59" s="15">
        <v>31.2</v>
      </c>
      <c r="H59" s="16">
        <v>18</v>
      </c>
      <c r="I59" s="16">
        <v>42</v>
      </c>
      <c r="J59" s="17" t="s">
        <v>241</v>
      </c>
      <c r="K59" s="17">
        <v>0.78720000000000001</v>
      </c>
      <c r="L59" s="17">
        <v>14.1698</v>
      </c>
      <c r="M59" s="17">
        <v>0.55730000000000002</v>
      </c>
      <c r="N59">
        <f t="shared" si="0"/>
        <v>3296.295141025641</v>
      </c>
      <c r="O59">
        <f t="shared" si="1"/>
        <v>4044.8834000000002</v>
      </c>
    </row>
    <row r="60" spans="2:15" ht="15" customHeight="1" x14ac:dyDescent="0.25">
      <c r="B60" s="13" t="s">
        <v>2332</v>
      </c>
      <c r="C60" s="14" t="s">
        <v>2226</v>
      </c>
      <c r="D60" s="14" t="s">
        <v>2326</v>
      </c>
      <c r="E60" s="14" t="s">
        <v>2333</v>
      </c>
      <c r="F60" s="13" t="s">
        <v>240</v>
      </c>
      <c r="G60" s="15">
        <v>16.5</v>
      </c>
      <c r="H60" s="16">
        <v>9</v>
      </c>
      <c r="I60" s="16">
        <v>23</v>
      </c>
      <c r="J60" s="17" t="s">
        <v>241</v>
      </c>
      <c r="K60" s="17">
        <v>0.66300000000000003</v>
      </c>
      <c r="L60" s="17">
        <v>5.9672999999999998</v>
      </c>
      <c r="M60" s="17">
        <v>0.55559999999999998</v>
      </c>
      <c r="N60">
        <f t="shared" si="0"/>
        <v>2624.8886909090907</v>
      </c>
      <c r="O60">
        <f t="shared" si="1"/>
        <v>4032.5447999999997</v>
      </c>
    </row>
    <row r="61" spans="2:15" ht="15" customHeight="1" x14ac:dyDescent="0.25">
      <c r="B61" s="13" t="s">
        <v>2334</v>
      </c>
      <c r="C61" s="14" t="s">
        <v>2226</v>
      </c>
      <c r="D61" s="14" t="s">
        <v>2326</v>
      </c>
      <c r="E61" s="14" t="s">
        <v>2335</v>
      </c>
      <c r="F61" s="13" t="s">
        <v>240</v>
      </c>
      <c r="G61" s="15">
        <v>15</v>
      </c>
      <c r="H61" s="16">
        <v>11</v>
      </c>
      <c r="I61" s="16">
        <v>27</v>
      </c>
      <c r="J61" s="17" t="s">
        <v>241</v>
      </c>
      <c r="K61" s="17">
        <v>0.60329999999999995</v>
      </c>
      <c r="L61" s="17">
        <v>6.6359000000000004</v>
      </c>
      <c r="M61" s="17">
        <v>0.3533</v>
      </c>
      <c r="N61">
        <f t="shared" si="0"/>
        <v>3210.8908133333334</v>
      </c>
      <c r="O61">
        <f t="shared" si="1"/>
        <v>2564.2514000000001</v>
      </c>
    </row>
    <row r="62" spans="2:15" ht="15" customHeight="1" x14ac:dyDescent="0.25">
      <c r="B62" s="13" t="s">
        <v>2336</v>
      </c>
      <c r="C62" s="14" t="s">
        <v>2226</v>
      </c>
      <c r="D62" s="14" t="s">
        <v>2326</v>
      </c>
      <c r="E62" s="14" t="s">
        <v>2337</v>
      </c>
      <c r="F62" s="13" t="s">
        <v>290</v>
      </c>
      <c r="G62" s="15">
        <v>1</v>
      </c>
      <c r="H62" s="16" t="s">
        <v>241</v>
      </c>
      <c r="I62" s="16" t="s">
        <v>241</v>
      </c>
      <c r="J62" s="17">
        <v>0.38009999999999999</v>
      </c>
      <c r="K62" s="17" t="s">
        <v>241</v>
      </c>
      <c r="L62" s="17" t="s">
        <v>241</v>
      </c>
      <c r="M62" s="17" t="s">
        <v>241</v>
      </c>
      <c r="N62" t="e">
        <f t="shared" si="0"/>
        <v>#VALUE!</v>
      </c>
      <c r="O62" t="e">
        <f t="shared" si="1"/>
        <v>#VALUE!</v>
      </c>
    </row>
    <row r="63" spans="2:15" ht="15" customHeight="1" x14ac:dyDescent="0.25">
      <c r="B63" s="13" t="s">
        <v>2338</v>
      </c>
      <c r="C63" s="14" t="s">
        <v>2339</v>
      </c>
      <c r="D63" s="14" t="s">
        <v>2340</v>
      </c>
      <c r="E63" s="14" t="s">
        <v>2341</v>
      </c>
      <c r="F63" s="13" t="s">
        <v>240</v>
      </c>
      <c r="G63" s="15">
        <v>6.6</v>
      </c>
      <c r="H63" s="16">
        <v>4</v>
      </c>
      <c r="I63" s="16">
        <v>10</v>
      </c>
      <c r="J63" s="17" t="s">
        <v>241</v>
      </c>
      <c r="K63" s="17">
        <v>0.44359999999999999</v>
      </c>
      <c r="L63" s="17">
        <v>1.7744</v>
      </c>
      <c r="M63" s="17">
        <v>0.26290000000000002</v>
      </c>
      <c r="N63">
        <f t="shared" si="0"/>
        <v>1951.3023030303032</v>
      </c>
      <c r="O63">
        <f t="shared" si="1"/>
        <v>1908.1282000000001</v>
      </c>
    </row>
    <row r="64" spans="2:15" ht="15" customHeight="1" x14ac:dyDescent="0.25">
      <c r="B64" s="13" t="s">
        <v>2342</v>
      </c>
      <c r="C64" s="14" t="s">
        <v>2339</v>
      </c>
      <c r="D64" s="14" t="s">
        <v>2340</v>
      </c>
      <c r="E64" s="14" t="s">
        <v>2343</v>
      </c>
      <c r="F64" s="13" t="s">
        <v>240</v>
      </c>
      <c r="G64" s="15">
        <v>7.1</v>
      </c>
      <c r="H64" s="16">
        <v>4</v>
      </c>
      <c r="I64" s="16">
        <v>11</v>
      </c>
      <c r="J64" s="17" t="s">
        <v>241</v>
      </c>
      <c r="K64" s="17">
        <v>0.45540000000000003</v>
      </c>
      <c r="L64" s="17">
        <v>1.8216000000000001</v>
      </c>
      <c r="M64" s="17">
        <v>0.24010000000000001</v>
      </c>
      <c r="N64">
        <f t="shared" si="0"/>
        <v>1862.1370140845072</v>
      </c>
      <c r="O64">
        <f t="shared" si="1"/>
        <v>1742.6458</v>
      </c>
    </row>
    <row r="65" spans="2:15" ht="15" customHeight="1" x14ac:dyDescent="0.25">
      <c r="B65" s="13" t="s">
        <v>2344</v>
      </c>
      <c r="C65" s="14" t="s">
        <v>2339</v>
      </c>
      <c r="D65" s="14" t="s">
        <v>2340</v>
      </c>
      <c r="E65" s="14" t="s">
        <v>2345</v>
      </c>
      <c r="F65" s="13" t="s">
        <v>240</v>
      </c>
      <c r="G65" s="15">
        <v>6.4</v>
      </c>
      <c r="H65" s="16">
        <v>5</v>
      </c>
      <c r="I65" s="16">
        <v>11</v>
      </c>
      <c r="J65" s="17" t="s">
        <v>241</v>
      </c>
      <c r="K65" s="17">
        <v>0.378</v>
      </c>
      <c r="L65" s="17">
        <v>1.89</v>
      </c>
      <c r="M65" s="17">
        <v>0.22259999999999999</v>
      </c>
      <c r="N65">
        <f t="shared" si="0"/>
        <v>2143.3781249999997</v>
      </c>
      <c r="O65">
        <f t="shared" si="1"/>
        <v>1615.6307999999999</v>
      </c>
    </row>
    <row r="66" spans="2:15" ht="15" customHeight="1" x14ac:dyDescent="0.25">
      <c r="B66" s="13" t="s">
        <v>2346</v>
      </c>
      <c r="C66" s="14" t="s">
        <v>2339</v>
      </c>
      <c r="D66" s="14" t="s">
        <v>2340</v>
      </c>
      <c r="E66" s="14" t="s">
        <v>2347</v>
      </c>
      <c r="F66" s="13" t="s">
        <v>240</v>
      </c>
      <c r="G66" s="15">
        <v>3.4</v>
      </c>
      <c r="H66" s="16">
        <v>2</v>
      </c>
      <c r="I66" s="16">
        <v>6</v>
      </c>
      <c r="J66" s="17" t="s">
        <v>241</v>
      </c>
      <c r="K66" s="17">
        <v>0.39750000000000002</v>
      </c>
      <c r="L66" s="17">
        <v>0.79500000000000004</v>
      </c>
      <c r="M66" s="17">
        <v>0.253</v>
      </c>
      <c r="N66">
        <f t="shared" si="0"/>
        <v>1697.0911764705884</v>
      </c>
      <c r="O66">
        <f t="shared" si="1"/>
        <v>1836.2740000000001</v>
      </c>
    </row>
    <row r="67" spans="2:15" ht="15" customHeight="1" x14ac:dyDescent="0.25">
      <c r="B67" s="13" t="s">
        <v>2348</v>
      </c>
      <c r="C67" s="14" t="s">
        <v>2339</v>
      </c>
      <c r="D67" s="14" t="s">
        <v>2340</v>
      </c>
      <c r="E67" s="14" t="s">
        <v>2349</v>
      </c>
      <c r="F67" s="13" t="s">
        <v>240</v>
      </c>
      <c r="G67" s="15">
        <v>2.7</v>
      </c>
      <c r="H67" s="16">
        <v>1</v>
      </c>
      <c r="I67" s="16">
        <v>5</v>
      </c>
      <c r="J67" s="17" t="s">
        <v>241</v>
      </c>
      <c r="K67" s="17">
        <v>0.47489999999999999</v>
      </c>
      <c r="L67" s="17">
        <v>0.47489999999999999</v>
      </c>
      <c r="M67" s="17">
        <v>0.26540000000000002</v>
      </c>
      <c r="N67">
        <f t="shared" si="0"/>
        <v>1276.6015555555555</v>
      </c>
      <c r="O67">
        <f t="shared" si="1"/>
        <v>1926.2732000000001</v>
      </c>
    </row>
    <row r="68" spans="2:15" ht="15" customHeight="1" x14ac:dyDescent="0.25">
      <c r="B68" s="13" t="s">
        <v>2350</v>
      </c>
      <c r="C68" s="14" t="s">
        <v>2339</v>
      </c>
      <c r="D68" s="14" t="s">
        <v>2340</v>
      </c>
      <c r="E68" s="14" t="s">
        <v>2351</v>
      </c>
      <c r="F68" s="13" t="s">
        <v>240</v>
      </c>
      <c r="G68" s="15">
        <v>2</v>
      </c>
      <c r="H68" s="16">
        <v>1</v>
      </c>
      <c r="I68" s="16">
        <v>4</v>
      </c>
      <c r="J68" s="17" t="s">
        <v>241</v>
      </c>
      <c r="K68" s="17">
        <v>0.501</v>
      </c>
      <c r="L68" s="17">
        <v>0.501</v>
      </c>
      <c r="M68" s="17">
        <v>0.27179999999999999</v>
      </c>
      <c r="N68">
        <f t="shared" si="0"/>
        <v>1818.1289999999999</v>
      </c>
      <c r="O68">
        <f t="shared" si="1"/>
        <v>1972.7243999999998</v>
      </c>
    </row>
    <row r="69" spans="2:15" ht="15" customHeight="1" x14ac:dyDescent="0.25">
      <c r="B69" s="13" t="s">
        <v>2352</v>
      </c>
      <c r="C69" s="14" t="s">
        <v>2339</v>
      </c>
      <c r="D69" s="14" t="s">
        <v>2340</v>
      </c>
      <c r="E69" s="14" t="s">
        <v>2353</v>
      </c>
      <c r="F69" s="13" t="s">
        <v>240</v>
      </c>
      <c r="G69" s="15">
        <v>2</v>
      </c>
      <c r="H69" s="16">
        <v>1</v>
      </c>
      <c r="I69" s="16">
        <v>4</v>
      </c>
      <c r="J69" s="17" t="s">
        <v>241</v>
      </c>
      <c r="K69" s="17">
        <v>0.47099999999999997</v>
      </c>
      <c r="L69" s="17">
        <v>0.47099999999999997</v>
      </c>
      <c r="M69" s="17">
        <v>0.27660000000000001</v>
      </c>
      <c r="N69">
        <f t="shared" si="0"/>
        <v>1709.259</v>
      </c>
      <c r="O69">
        <f t="shared" si="1"/>
        <v>2007.5628000000002</v>
      </c>
    </row>
    <row r="70" spans="2:15" ht="15" customHeight="1" x14ac:dyDescent="0.25">
      <c r="B70" s="13" t="s">
        <v>2354</v>
      </c>
      <c r="C70" s="14" t="s">
        <v>2339</v>
      </c>
      <c r="D70" s="14" t="s">
        <v>2340</v>
      </c>
      <c r="E70" s="14" t="s">
        <v>2355</v>
      </c>
      <c r="F70" s="13" t="s">
        <v>240</v>
      </c>
      <c r="G70" s="15">
        <v>6.4</v>
      </c>
      <c r="H70" s="16">
        <v>4</v>
      </c>
      <c r="I70" s="16">
        <v>10</v>
      </c>
      <c r="J70" s="17" t="s">
        <v>241</v>
      </c>
      <c r="K70" s="17">
        <v>0.4274</v>
      </c>
      <c r="L70" s="17">
        <v>1.7096</v>
      </c>
      <c r="M70" s="17">
        <v>0.2515</v>
      </c>
      <c r="N70">
        <f t="shared" si="0"/>
        <v>1938.7932499999999</v>
      </c>
      <c r="O70">
        <f t="shared" si="1"/>
        <v>1825.3869999999999</v>
      </c>
    </row>
    <row r="71" spans="2:15" ht="15" customHeight="1" x14ac:dyDescent="0.25">
      <c r="B71" s="13" t="s">
        <v>2356</v>
      </c>
      <c r="C71" s="14" t="s">
        <v>2339</v>
      </c>
      <c r="D71" s="14" t="s">
        <v>2340</v>
      </c>
      <c r="E71" s="14" t="s">
        <v>2357</v>
      </c>
      <c r="F71" s="13" t="s">
        <v>240</v>
      </c>
      <c r="G71" s="15">
        <v>4.0999999999999996</v>
      </c>
      <c r="H71" s="16">
        <v>2</v>
      </c>
      <c r="I71" s="16">
        <v>7</v>
      </c>
      <c r="J71" s="17" t="s">
        <v>241</v>
      </c>
      <c r="K71" s="17">
        <v>0.47310000000000002</v>
      </c>
      <c r="L71" s="17">
        <v>0.94620000000000004</v>
      </c>
      <c r="M71" s="17">
        <v>0.25040000000000001</v>
      </c>
      <c r="N71">
        <f t="shared" si="0"/>
        <v>1675.0047804878052</v>
      </c>
      <c r="O71">
        <f t="shared" si="1"/>
        <v>1817.4032</v>
      </c>
    </row>
    <row r="72" spans="2:15" ht="15" customHeight="1" x14ac:dyDescent="0.25">
      <c r="B72" s="13" t="s">
        <v>2358</v>
      </c>
      <c r="C72" s="14" t="s">
        <v>2339</v>
      </c>
      <c r="D72" s="14" t="s">
        <v>2340</v>
      </c>
      <c r="E72" s="14" t="s">
        <v>2359</v>
      </c>
      <c r="F72" s="13" t="s">
        <v>240</v>
      </c>
      <c r="G72" s="15">
        <v>4.7</v>
      </c>
      <c r="H72" s="16">
        <v>2</v>
      </c>
      <c r="I72" s="16">
        <v>7</v>
      </c>
      <c r="J72" s="17" t="s">
        <v>241</v>
      </c>
      <c r="K72" s="17">
        <v>0.50839999999999996</v>
      </c>
      <c r="L72" s="17">
        <v>1.0167999999999999</v>
      </c>
      <c r="M72" s="17">
        <v>0.25309999999999999</v>
      </c>
      <c r="N72">
        <f t="shared" si="0"/>
        <v>1570.1988085106382</v>
      </c>
      <c r="O72">
        <f t="shared" si="1"/>
        <v>1836.9998000000001</v>
      </c>
    </row>
    <row r="73" spans="2:15" ht="15" customHeight="1" x14ac:dyDescent="0.25">
      <c r="B73" s="13" t="s">
        <v>2360</v>
      </c>
      <c r="C73" s="14" t="s">
        <v>2339</v>
      </c>
      <c r="D73" s="14" t="s">
        <v>2340</v>
      </c>
      <c r="E73" s="14" t="s">
        <v>2361</v>
      </c>
      <c r="F73" s="13" t="s">
        <v>240</v>
      </c>
      <c r="G73" s="15">
        <v>5.3</v>
      </c>
      <c r="H73" s="16">
        <v>3</v>
      </c>
      <c r="I73" s="16">
        <v>9</v>
      </c>
      <c r="J73" s="17" t="s">
        <v>241</v>
      </c>
      <c r="K73" s="17">
        <v>0.46889999999999998</v>
      </c>
      <c r="L73" s="17">
        <v>1.4068000000000001</v>
      </c>
      <c r="M73" s="17">
        <v>0.26</v>
      </c>
      <c r="N73">
        <f t="shared" ref="N73:N96" si="2">(L73*$N$3)/G73</f>
        <v>1926.5196981132078</v>
      </c>
      <c r="O73">
        <f t="shared" ref="O73:O96" si="3">M73*$N$3</f>
        <v>1887.0800000000002</v>
      </c>
    </row>
    <row r="74" spans="2:15" ht="15" customHeight="1" x14ac:dyDescent="0.25">
      <c r="B74" s="13" t="s">
        <v>2362</v>
      </c>
      <c r="C74" s="14" t="s">
        <v>2339</v>
      </c>
      <c r="D74" s="14" t="s">
        <v>2340</v>
      </c>
      <c r="E74" s="14" t="s">
        <v>2363</v>
      </c>
      <c r="F74" s="13" t="s">
        <v>240</v>
      </c>
      <c r="G74" s="15">
        <v>2.5</v>
      </c>
      <c r="H74" s="16">
        <v>1</v>
      </c>
      <c r="I74" s="16">
        <v>4</v>
      </c>
      <c r="J74" s="17" t="s">
        <v>241</v>
      </c>
      <c r="K74" s="17">
        <v>0.58740000000000003</v>
      </c>
      <c r="L74" s="17">
        <v>0.58740000000000003</v>
      </c>
      <c r="M74" s="17">
        <v>0.27750000000000002</v>
      </c>
      <c r="N74">
        <f t="shared" si="2"/>
        <v>1705.3396800000003</v>
      </c>
      <c r="O74">
        <f t="shared" si="3"/>
        <v>2014.0950000000003</v>
      </c>
    </row>
    <row r="75" spans="2:15" ht="15" customHeight="1" x14ac:dyDescent="0.25">
      <c r="B75" s="13" t="s">
        <v>2364</v>
      </c>
      <c r="C75" s="14" t="s">
        <v>2339</v>
      </c>
      <c r="D75" s="14" t="s">
        <v>2340</v>
      </c>
      <c r="E75" s="14" t="s">
        <v>2365</v>
      </c>
      <c r="F75" s="13" t="s">
        <v>290</v>
      </c>
      <c r="G75" s="15">
        <v>1</v>
      </c>
      <c r="H75" s="16" t="s">
        <v>241</v>
      </c>
      <c r="I75" s="16" t="s">
        <v>241</v>
      </c>
      <c r="J75" s="17">
        <v>0.1784</v>
      </c>
      <c r="K75" s="17" t="s">
        <v>241</v>
      </c>
      <c r="L75" s="17" t="s">
        <v>241</v>
      </c>
      <c r="M75" s="17" t="s">
        <v>241</v>
      </c>
      <c r="N75" t="e">
        <f t="shared" si="2"/>
        <v>#VALUE!</v>
      </c>
      <c r="O75" t="e">
        <f t="shared" si="3"/>
        <v>#VALUE!</v>
      </c>
    </row>
    <row r="76" spans="2:15" ht="15" customHeight="1" x14ac:dyDescent="0.25">
      <c r="B76" s="13" t="s">
        <v>2366</v>
      </c>
      <c r="C76" s="14" t="s">
        <v>2339</v>
      </c>
      <c r="D76" s="14" t="s">
        <v>2367</v>
      </c>
      <c r="E76" s="14" t="s">
        <v>2368</v>
      </c>
      <c r="F76" s="13" t="s">
        <v>240</v>
      </c>
      <c r="G76" s="15">
        <v>13.8</v>
      </c>
      <c r="H76" s="16">
        <v>5</v>
      </c>
      <c r="I76" s="16">
        <v>22</v>
      </c>
      <c r="J76" s="17" t="s">
        <v>241</v>
      </c>
      <c r="K76" s="17">
        <v>1.4931000000000001</v>
      </c>
      <c r="L76" s="17">
        <v>7.4653999999999998</v>
      </c>
      <c r="M76" s="17">
        <v>0.96660000000000001</v>
      </c>
      <c r="N76">
        <f t="shared" si="2"/>
        <v>3926.3676231884056</v>
      </c>
      <c r="O76">
        <f t="shared" si="3"/>
        <v>7015.5828000000001</v>
      </c>
    </row>
    <row r="77" spans="2:15" ht="15" customHeight="1" x14ac:dyDescent="0.25">
      <c r="B77" s="13" t="s">
        <v>2369</v>
      </c>
      <c r="C77" s="14" t="s">
        <v>2339</v>
      </c>
      <c r="D77" s="14" t="s">
        <v>2367</v>
      </c>
      <c r="E77" s="14" t="s">
        <v>2370</v>
      </c>
      <c r="F77" s="13" t="s">
        <v>240</v>
      </c>
      <c r="G77" s="15">
        <v>7.1</v>
      </c>
      <c r="H77" s="16">
        <v>4</v>
      </c>
      <c r="I77" s="16">
        <v>10</v>
      </c>
      <c r="J77" s="17" t="s">
        <v>241</v>
      </c>
      <c r="K77" s="17">
        <v>0.83989999999999998</v>
      </c>
      <c r="L77" s="17">
        <v>3.3595999999999999</v>
      </c>
      <c r="M77" s="17">
        <v>0.68110000000000004</v>
      </c>
      <c r="N77">
        <f t="shared" si="2"/>
        <v>3434.3629295774649</v>
      </c>
      <c r="O77">
        <f t="shared" si="3"/>
        <v>4943.4238000000005</v>
      </c>
    </row>
    <row r="78" spans="2:15" ht="15" customHeight="1" x14ac:dyDescent="0.25">
      <c r="B78" s="13" t="s">
        <v>2371</v>
      </c>
      <c r="C78" s="14" t="s">
        <v>2339</v>
      </c>
      <c r="D78" s="14" t="s">
        <v>2367</v>
      </c>
      <c r="E78" s="14" t="s">
        <v>2372</v>
      </c>
      <c r="F78" s="13" t="s">
        <v>240</v>
      </c>
      <c r="G78" s="15">
        <v>7</v>
      </c>
      <c r="H78" s="16">
        <v>2</v>
      </c>
      <c r="I78" s="16">
        <v>11</v>
      </c>
      <c r="J78" s="17" t="s">
        <v>241</v>
      </c>
      <c r="K78" s="17">
        <v>1.4336</v>
      </c>
      <c r="L78" s="17">
        <v>2.8672</v>
      </c>
      <c r="M78" s="17">
        <v>0.71650000000000003</v>
      </c>
      <c r="N78">
        <f t="shared" si="2"/>
        <v>2972.8767999999995</v>
      </c>
      <c r="O78">
        <f t="shared" si="3"/>
        <v>5200.357</v>
      </c>
    </row>
    <row r="79" spans="2:15" ht="15" customHeight="1" x14ac:dyDescent="0.25">
      <c r="B79" s="13" t="s">
        <v>2373</v>
      </c>
      <c r="C79" s="14" t="s">
        <v>2339</v>
      </c>
      <c r="D79" s="14" t="s">
        <v>2367</v>
      </c>
      <c r="E79" s="14" t="s">
        <v>2363</v>
      </c>
      <c r="F79" s="13" t="s">
        <v>240</v>
      </c>
      <c r="G79" s="15">
        <v>4.3</v>
      </c>
      <c r="H79" s="16">
        <v>3</v>
      </c>
      <c r="I79" s="16">
        <v>9</v>
      </c>
      <c r="J79" s="17" t="s">
        <v>241</v>
      </c>
      <c r="K79" s="17">
        <v>1.1781999999999999</v>
      </c>
      <c r="L79" s="17">
        <v>3.5346000000000002</v>
      </c>
      <c r="M79" s="17">
        <v>0.64790000000000003</v>
      </c>
      <c r="N79">
        <f t="shared" si="2"/>
        <v>5966.0760000000009</v>
      </c>
      <c r="O79">
        <f t="shared" si="3"/>
        <v>4702.4582</v>
      </c>
    </row>
    <row r="80" spans="2:15" ht="15" customHeight="1" x14ac:dyDescent="0.25">
      <c r="B80" s="13" t="s">
        <v>2374</v>
      </c>
      <c r="C80" s="14" t="s">
        <v>2339</v>
      </c>
      <c r="D80" s="14" t="s">
        <v>2367</v>
      </c>
      <c r="E80" s="14" t="s">
        <v>2375</v>
      </c>
      <c r="F80" s="13" t="s">
        <v>290</v>
      </c>
      <c r="G80" s="15">
        <v>1</v>
      </c>
      <c r="H80" s="16" t="s">
        <v>241</v>
      </c>
      <c r="I80" s="16" t="s">
        <v>241</v>
      </c>
      <c r="J80" s="17">
        <v>0.27450000000000002</v>
      </c>
      <c r="K80" s="17" t="s">
        <v>241</v>
      </c>
      <c r="L80" s="17" t="s">
        <v>241</v>
      </c>
      <c r="M80" s="17" t="s">
        <v>241</v>
      </c>
      <c r="N80" t="e">
        <f t="shared" si="2"/>
        <v>#VALUE!</v>
      </c>
      <c r="O80" t="e">
        <f t="shared" si="3"/>
        <v>#VALUE!</v>
      </c>
    </row>
    <row r="81" spans="2:15" ht="15" customHeight="1" x14ac:dyDescent="0.25">
      <c r="B81" s="13" t="s">
        <v>2376</v>
      </c>
      <c r="C81" s="14" t="s">
        <v>2377</v>
      </c>
      <c r="D81" s="14" t="s">
        <v>2378</v>
      </c>
      <c r="E81" s="14" t="s">
        <v>2379</v>
      </c>
      <c r="F81" s="13" t="s">
        <v>240</v>
      </c>
      <c r="G81" s="15">
        <v>13</v>
      </c>
      <c r="H81" s="16">
        <v>8</v>
      </c>
      <c r="I81" s="16">
        <v>20</v>
      </c>
      <c r="J81" s="17" t="s">
        <v>241</v>
      </c>
      <c r="K81" s="17">
        <v>0.27479999999999999</v>
      </c>
      <c r="L81" s="17">
        <v>2.1981000000000002</v>
      </c>
      <c r="M81" s="17">
        <v>0.17499999999999999</v>
      </c>
      <c r="N81">
        <f t="shared" si="2"/>
        <v>1227.2161384615385</v>
      </c>
      <c r="O81">
        <f t="shared" si="3"/>
        <v>1270.1499999999999</v>
      </c>
    </row>
    <row r="82" spans="2:15" ht="15" customHeight="1" x14ac:dyDescent="0.25">
      <c r="B82" s="13" t="s">
        <v>2380</v>
      </c>
      <c r="C82" s="14" t="s">
        <v>2377</v>
      </c>
      <c r="D82" s="14" t="s">
        <v>2378</v>
      </c>
      <c r="E82" s="14" t="s">
        <v>2381</v>
      </c>
      <c r="F82" s="13" t="s">
        <v>240</v>
      </c>
      <c r="G82" s="15">
        <v>18</v>
      </c>
      <c r="H82" s="16">
        <v>11</v>
      </c>
      <c r="I82" s="16">
        <v>27</v>
      </c>
      <c r="J82" s="17" t="s">
        <v>241</v>
      </c>
      <c r="K82" s="17">
        <v>0.3211</v>
      </c>
      <c r="L82" s="17">
        <v>3.5316000000000001</v>
      </c>
      <c r="M82" s="17">
        <v>0.18429999999999999</v>
      </c>
      <c r="N82">
        <f t="shared" si="2"/>
        <v>1424.0196000000001</v>
      </c>
      <c r="O82">
        <f t="shared" si="3"/>
        <v>1337.6494</v>
      </c>
    </row>
    <row r="83" spans="2:15" ht="15" customHeight="1" x14ac:dyDescent="0.25">
      <c r="B83" s="13" t="s">
        <v>2382</v>
      </c>
      <c r="C83" s="14" t="s">
        <v>2377</v>
      </c>
      <c r="D83" s="14" t="s">
        <v>2378</v>
      </c>
      <c r="E83" s="14" t="s">
        <v>2383</v>
      </c>
      <c r="F83" s="13" t="s">
        <v>240</v>
      </c>
      <c r="G83" s="15">
        <v>16.600000000000001</v>
      </c>
      <c r="H83" s="16">
        <v>10</v>
      </c>
      <c r="I83" s="16">
        <v>25</v>
      </c>
      <c r="J83" s="17" t="s">
        <v>241</v>
      </c>
      <c r="K83" s="17">
        <v>0.30420000000000003</v>
      </c>
      <c r="L83" s="17">
        <v>3.0421</v>
      </c>
      <c r="M83" s="17">
        <v>0.1817</v>
      </c>
      <c r="N83">
        <f t="shared" si="2"/>
        <v>1330.0940843373492</v>
      </c>
      <c r="O83">
        <f t="shared" si="3"/>
        <v>1318.7786000000001</v>
      </c>
    </row>
    <row r="84" spans="2:15" ht="15" customHeight="1" x14ac:dyDescent="0.25">
      <c r="B84" s="13" t="s">
        <v>2384</v>
      </c>
      <c r="C84" s="14" t="s">
        <v>2377</v>
      </c>
      <c r="D84" s="14" t="s">
        <v>2378</v>
      </c>
      <c r="E84" s="14" t="s">
        <v>2385</v>
      </c>
      <c r="F84" s="13" t="s">
        <v>240</v>
      </c>
      <c r="G84" s="15">
        <v>21.9</v>
      </c>
      <c r="H84" s="16">
        <v>14</v>
      </c>
      <c r="I84" s="16">
        <v>33</v>
      </c>
      <c r="J84" s="17" t="s">
        <v>241</v>
      </c>
      <c r="K84" s="17">
        <v>0.32840000000000003</v>
      </c>
      <c r="L84" s="17">
        <v>4.5968999999999998</v>
      </c>
      <c r="M84" s="17">
        <v>0.18429999999999999</v>
      </c>
      <c r="N84">
        <f t="shared" si="2"/>
        <v>1523.4840273972602</v>
      </c>
      <c r="O84">
        <f t="shared" si="3"/>
        <v>1337.6494</v>
      </c>
    </row>
    <row r="85" spans="2:15" ht="15" customHeight="1" x14ac:dyDescent="0.25">
      <c r="B85" s="13" t="s">
        <v>2386</v>
      </c>
      <c r="C85" s="14" t="s">
        <v>2377</v>
      </c>
      <c r="D85" s="14" t="s">
        <v>2378</v>
      </c>
      <c r="E85" s="14" t="s">
        <v>2387</v>
      </c>
      <c r="F85" s="13" t="s">
        <v>240</v>
      </c>
      <c r="G85" s="15">
        <v>22.4</v>
      </c>
      <c r="H85" s="16">
        <v>13</v>
      </c>
      <c r="I85" s="16">
        <v>33</v>
      </c>
      <c r="J85" s="17" t="s">
        <v>241</v>
      </c>
      <c r="K85" s="17">
        <v>0.34110000000000001</v>
      </c>
      <c r="L85" s="17">
        <v>4.4348999999999998</v>
      </c>
      <c r="M85" s="17">
        <v>0.1835</v>
      </c>
      <c r="N85">
        <f t="shared" si="2"/>
        <v>1436.9867946428571</v>
      </c>
      <c r="O85">
        <f t="shared" si="3"/>
        <v>1331.8430000000001</v>
      </c>
    </row>
    <row r="86" spans="2:15" ht="15" customHeight="1" x14ac:dyDescent="0.25">
      <c r="B86" s="13" t="s">
        <v>2388</v>
      </c>
      <c r="C86" s="14" t="s">
        <v>2377</v>
      </c>
      <c r="D86" s="14" t="s">
        <v>2378</v>
      </c>
      <c r="E86" s="14" t="s">
        <v>2389</v>
      </c>
      <c r="F86" s="13" t="s">
        <v>240</v>
      </c>
      <c r="G86" s="15">
        <v>29.2</v>
      </c>
      <c r="H86" s="16">
        <v>19</v>
      </c>
      <c r="I86" s="16">
        <v>44</v>
      </c>
      <c r="J86" s="17" t="s">
        <v>241</v>
      </c>
      <c r="K86" s="17">
        <v>0.3377</v>
      </c>
      <c r="L86" s="17">
        <v>6.4166999999999996</v>
      </c>
      <c r="M86" s="17">
        <v>0.18290000000000001</v>
      </c>
      <c r="N86">
        <f t="shared" si="2"/>
        <v>1594.9454999999998</v>
      </c>
      <c r="O86">
        <f t="shared" si="3"/>
        <v>1327.4882</v>
      </c>
    </row>
    <row r="87" spans="2:15" ht="15" customHeight="1" x14ac:dyDescent="0.25">
      <c r="B87" s="13" t="s">
        <v>2390</v>
      </c>
      <c r="C87" s="14" t="s">
        <v>2377</v>
      </c>
      <c r="D87" s="14" t="s">
        <v>2378</v>
      </c>
      <c r="E87" s="14" t="s">
        <v>2391</v>
      </c>
      <c r="F87" s="13" t="s">
        <v>290</v>
      </c>
      <c r="G87" s="15">
        <v>1</v>
      </c>
      <c r="H87" s="16" t="s">
        <v>241</v>
      </c>
      <c r="I87" s="16" t="s">
        <v>241</v>
      </c>
      <c r="J87" s="17">
        <v>0.1394</v>
      </c>
      <c r="K87" s="17" t="s">
        <v>241</v>
      </c>
      <c r="L87" s="17" t="s">
        <v>241</v>
      </c>
      <c r="M87" s="17" t="s">
        <v>241</v>
      </c>
      <c r="N87" t="e">
        <f t="shared" si="2"/>
        <v>#VALUE!</v>
      </c>
      <c r="O87" t="e">
        <f t="shared" si="3"/>
        <v>#VALUE!</v>
      </c>
    </row>
    <row r="88" spans="2:15" ht="15" customHeight="1" x14ac:dyDescent="0.25">
      <c r="B88" s="13" t="s">
        <v>2392</v>
      </c>
      <c r="C88" s="14" t="s">
        <v>2393</v>
      </c>
      <c r="D88" s="14" t="s">
        <v>2394</v>
      </c>
      <c r="E88" s="14" t="s">
        <v>2395</v>
      </c>
      <c r="F88" s="13" t="s">
        <v>240</v>
      </c>
      <c r="G88" s="15">
        <v>146.69999999999999</v>
      </c>
      <c r="H88" s="16">
        <v>99</v>
      </c>
      <c r="I88" s="16">
        <v>170</v>
      </c>
      <c r="J88" s="17" t="s">
        <v>241</v>
      </c>
      <c r="K88" s="17">
        <v>0.36149999999999999</v>
      </c>
      <c r="L88" s="17">
        <v>35.786000000000001</v>
      </c>
      <c r="M88" s="17">
        <v>0.26550000000000001</v>
      </c>
      <c r="N88">
        <f t="shared" si="2"/>
        <v>1770.5166189502388</v>
      </c>
      <c r="O88">
        <f t="shared" si="3"/>
        <v>1926.999</v>
      </c>
    </row>
    <row r="89" spans="2:15" ht="15" customHeight="1" x14ac:dyDescent="0.25">
      <c r="B89" s="13" t="s">
        <v>2396</v>
      </c>
      <c r="C89" s="14" t="s">
        <v>2393</v>
      </c>
      <c r="D89" s="14" t="s">
        <v>2394</v>
      </c>
      <c r="E89" s="14" t="s">
        <v>2397</v>
      </c>
      <c r="F89" s="13" t="s">
        <v>240</v>
      </c>
      <c r="G89" s="15">
        <v>24.6</v>
      </c>
      <c r="H89" s="16">
        <v>16</v>
      </c>
      <c r="I89" s="16">
        <v>37</v>
      </c>
      <c r="J89" s="17" t="s">
        <v>241</v>
      </c>
      <c r="K89" s="17">
        <v>0.43409999999999999</v>
      </c>
      <c r="L89" s="17">
        <v>6.9459999999999997</v>
      </c>
      <c r="M89" s="17">
        <v>0.25340000000000001</v>
      </c>
      <c r="N89">
        <f t="shared" si="2"/>
        <v>2049.3523577235769</v>
      </c>
      <c r="O89">
        <f t="shared" si="3"/>
        <v>1839.1772000000001</v>
      </c>
    </row>
    <row r="90" spans="2:15" ht="15" customHeight="1" x14ac:dyDescent="0.25">
      <c r="B90" s="13" t="s">
        <v>2398</v>
      </c>
      <c r="C90" s="14" t="s">
        <v>2393</v>
      </c>
      <c r="D90" s="14" t="s">
        <v>2394</v>
      </c>
      <c r="E90" s="14" t="s">
        <v>2399</v>
      </c>
      <c r="F90" s="13" t="s">
        <v>240</v>
      </c>
      <c r="G90" s="15">
        <v>26.1</v>
      </c>
      <c r="H90" s="16">
        <v>15</v>
      </c>
      <c r="I90" s="16">
        <v>39</v>
      </c>
      <c r="J90" s="17" t="s">
        <v>241</v>
      </c>
      <c r="K90" s="17">
        <v>0.46660000000000001</v>
      </c>
      <c r="L90" s="17">
        <v>6.9992999999999999</v>
      </c>
      <c r="M90" s="17">
        <v>0.28739999999999999</v>
      </c>
      <c r="N90">
        <f t="shared" si="2"/>
        <v>1946.3953793103447</v>
      </c>
      <c r="O90">
        <f t="shared" si="3"/>
        <v>2085.9492</v>
      </c>
    </row>
    <row r="91" spans="2:15" ht="15" customHeight="1" x14ac:dyDescent="0.25">
      <c r="B91" s="13" t="s">
        <v>2400</v>
      </c>
      <c r="C91" s="14" t="s">
        <v>2393</v>
      </c>
      <c r="D91" s="14" t="s">
        <v>2394</v>
      </c>
      <c r="E91" s="14" t="s">
        <v>2401</v>
      </c>
      <c r="F91" s="13" t="s">
        <v>290</v>
      </c>
      <c r="G91" s="15">
        <v>1</v>
      </c>
      <c r="H91" s="16" t="s">
        <v>241</v>
      </c>
      <c r="I91" s="16" t="s">
        <v>241</v>
      </c>
      <c r="J91" s="17">
        <v>0.1691</v>
      </c>
      <c r="K91" s="17" t="s">
        <v>241</v>
      </c>
      <c r="L91" s="17" t="s">
        <v>241</v>
      </c>
      <c r="M91" s="17" t="s">
        <v>241</v>
      </c>
      <c r="N91" t="e">
        <f t="shared" si="2"/>
        <v>#VALUE!</v>
      </c>
      <c r="O91" t="e">
        <f t="shared" si="3"/>
        <v>#VALUE!</v>
      </c>
    </row>
    <row r="92" spans="2:15" ht="15" customHeight="1" x14ac:dyDescent="0.25">
      <c r="B92" s="13" t="s">
        <v>2402</v>
      </c>
      <c r="C92" s="14" t="s">
        <v>2403</v>
      </c>
      <c r="D92" s="14" t="s">
        <v>2404</v>
      </c>
      <c r="E92" s="14" t="s">
        <v>2395</v>
      </c>
      <c r="F92" s="13" t="s">
        <v>240</v>
      </c>
      <c r="G92" s="15">
        <v>150.80000000000001</v>
      </c>
      <c r="H92" s="16">
        <v>100</v>
      </c>
      <c r="I92" s="16">
        <v>171</v>
      </c>
      <c r="J92" s="17" t="s">
        <v>241</v>
      </c>
      <c r="K92" s="17">
        <v>0.24940000000000001</v>
      </c>
      <c r="L92" s="17">
        <v>24.9422</v>
      </c>
      <c r="M92" s="17">
        <v>0.17130000000000001</v>
      </c>
      <c r="N92">
        <f t="shared" si="2"/>
        <v>1200.4674244031828</v>
      </c>
      <c r="O92">
        <f t="shared" si="3"/>
        <v>1243.2954</v>
      </c>
    </row>
    <row r="93" spans="2:15" ht="15" customHeight="1" x14ac:dyDescent="0.25">
      <c r="B93" s="13" t="s">
        <v>2405</v>
      </c>
      <c r="C93" s="14" t="s">
        <v>2403</v>
      </c>
      <c r="D93" s="14" t="s">
        <v>2404</v>
      </c>
      <c r="E93" s="14" t="s">
        <v>2406</v>
      </c>
      <c r="F93" s="13" t="s">
        <v>240</v>
      </c>
      <c r="G93" s="15">
        <v>12.1</v>
      </c>
      <c r="H93" s="16">
        <v>7</v>
      </c>
      <c r="I93" s="16">
        <v>18</v>
      </c>
      <c r="J93" s="17" t="s">
        <v>241</v>
      </c>
      <c r="K93" s="17">
        <v>0.32669999999999999</v>
      </c>
      <c r="L93" s="17">
        <v>2.2866</v>
      </c>
      <c r="M93" s="17">
        <v>0.16389999999999999</v>
      </c>
      <c r="N93">
        <f t="shared" si="2"/>
        <v>1371.582049586777</v>
      </c>
      <c r="O93">
        <f t="shared" si="3"/>
        <v>1189.5862</v>
      </c>
    </row>
    <row r="94" spans="2:15" ht="15" customHeight="1" x14ac:dyDescent="0.25">
      <c r="B94" s="13" t="s">
        <v>2407</v>
      </c>
      <c r="C94" s="14" t="s">
        <v>2403</v>
      </c>
      <c r="D94" s="14" t="s">
        <v>2404</v>
      </c>
      <c r="E94" s="14" t="s">
        <v>2408</v>
      </c>
      <c r="F94" s="13" t="s">
        <v>240</v>
      </c>
      <c r="G94" s="15">
        <v>18.100000000000001</v>
      </c>
      <c r="H94" s="16">
        <v>12</v>
      </c>
      <c r="I94" s="16">
        <v>28</v>
      </c>
      <c r="J94" s="17" t="s">
        <v>241</v>
      </c>
      <c r="K94" s="17">
        <v>0.33379999999999999</v>
      </c>
      <c r="L94" s="17">
        <v>4.0057</v>
      </c>
      <c r="M94" s="17">
        <v>0.189</v>
      </c>
      <c r="N94">
        <f t="shared" si="2"/>
        <v>1606.2635690607735</v>
      </c>
      <c r="O94">
        <f t="shared" si="3"/>
        <v>1371.7619999999999</v>
      </c>
    </row>
    <row r="95" spans="2:15" ht="15" customHeight="1" x14ac:dyDescent="0.25">
      <c r="B95" s="13" t="s">
        <v>2409</v>
      </c>
      <c r="C95" s="14" t="s">
        <v>2403</v>
      </c>
      <c r="D95" s="14" t="s">
        <v>2404</v>
      </c>
      <c r="E95" s="14" t="s">
        <v>2410</v>
      </c>
      <c r="F95" s="13" t="s">
        <v>240</v>
      </c>
      <c r="G95" s="15">
        <v>17.7</v>
      </c>
      <c r="H95" s="16">
        <v>11</v>
      </c>
      <c r="I95" s="16">
        <v>27</v>
      </c>
      <c r="J95" s="17" t="s">
        <v>241</v>
      </c>
      <c r="K95" s="17">
        <v>0.39529999999999998</v>
      </c>
      <c r="L95" s="17">
        <v>4.3480999999999996</v>
      </c>
      <c r="M95" s="17">
        <v>0.22170000000000001</v>
      </c>
      <c r="N95">
        <f t="shared" si="2"/>
        <v>1782.9666553672314</v>
      </c>
      <c r="O95">
        <f t="shared" si="3"/>
        <v>1609.0986</v>
      </c>
    </row>
    <row r="96" spans="2:15" ht="15" customHeight="1" x14ac:dyDescent="0.25">
      <c r="B96" s="13" t="s">
        <v>2411</v>
      </c>
      <c r="C96" s="14" t="s">
        <v>2403</v>
      </c>
      <c r="D96" s="14" t="s">
        <v>2404</v>
      </c>
      <c r="E96" s="14" t="s">
        <v>2412</v>
      </c>
      <c r="F96" s="13" t="s">
        <v>240</v>
      </c>
      <c r="G96" s="15">
        <v>5.8</v>
      </c>
      <c r="H96" s="16">
        <v>3</v>
      </c>
      <c r="I96" s="16">
        <v>9</v>
      </c>
      <c r="J96" s="17" t="s">
        <v>241</v>
      </c>
      <c r="K96" s="17">
        <v>0.16470000000000001</v>
      </c>
      <c r="L96" s="17">
        <v>0.49409999999999998</v>
      </c>
      <c r="M96" s="17">
        <v>0.4839</v>
      </c>
      <c r="N96">
        <f t="shared" si="2"/>
        <v>618.30651724137931</v>
      </c>
      <c r="O96">
        <f t="shared" si="3"/>
        <v>3512.1462000000001</v>
      </c>
    </row>
  </sheetData>
  <mergeCells count="8">
    <mergeCell ref="H6:I6"/>
    <mergeCell ref="J6:M6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paperSize="9" scale="4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pageSetUpPr fitToPage="1"/>
  </sheetPr>
  <dimension ref="B1:J50"/>
  <sheetViews>
    <sheetView showGridLines="0" zoomScaleNormal="100" workbookViewId="0"/>
  </sheetViews>
  <sheetFormatPr defaultRowHeight="15" customHeight="1" x14ac:dyDescent="0.25"/>
  <cols>
    <col min="1" max="1" width="2.7109375" customWidth="1"/>
    <col min="3" max="3" width="70.140625" bestFit="1" customWidth="1"/>
    <col min="4" max="4" width="11.140625" customWidth="1"/>
    <col min="7" max="7" width="12.140625" customWidth="1"/>
    <col min="8" max="8" width="12" customWidth="1"/>
    <col min="10" max="10" width="12.42578125" customWidth="1"/>
  </cols>
  <sheetData>
    <row r="1" spans="2:10" ht="20.100000000000001" customHeight="1" x14ac:dyDescent="0.25"/>
    <row r="2" spans="2:10" ht="20.100000000000001" customHeight="1" x14ac:dyDescent="0.3">
      <c r="B2" s="30" t="s">
        <v>41</v>
      </c>
      <c r="C2" s="12"/>
      <c r="D2" s="12"/>
      <c r="E2" s="12"/>
      <c r="F2" s="12"/>
      <c r="G2" s="12"/>
      <c r="H2" s="12"/>
      <c r="I2" s="12"/>
      <c r="J2" s="12"/>
    </row>
    <row r="3" spans="2:10" ht="20.100000000000001" customHeight="1" x14ac:dyDescent="0.25">
      <c r="B3" s="3"/>
      <c r="C3" s="12"/>
      <c r="D3" s="12"/>
      <c r="E3" s="12"/>
      <c r="F3" s="12"/>
      <c r="G3" s="12"/>
      <c r="H3" s="12"/>
      <c r="I3" s="12"/>
      <c r="J3" s="12"/>
    </row>
    <row r="4" spans="2:10" ht="20.100000000000001" customHeight="1" x14ac:dyDescent="0.25">
      <c r="B4" s="4" t="s">
        <v>44</v>
      </c>
      <c r="C4" s="12"/>
      <c r="D4" s="12"/>
      <c r="E4" s="12"/>
      <c r="F4" s="12"/>
      <c r="G4" s="12"/>
      <c r="H4" s="12"/>
      <c r="I4" s="12"/>
      <c r="J4" s="12"/>
    </row>
    <row r="5" spans="2:10" ht="20.100000000000001" customHeight="1" x14ac:dyDescent="0.25">
      <c r="B5" s="12"/>
      <c r="C5" s="12"/>
      <c r="D5" s="12"/>
      <c r="E5" s="12"/>
      <c r="F5" s="12"/>
      <c r="G5" s="12"/>
      <c r="H5" s="12"/>
      <c r="I5" s="12"/>
      <c r="J5" s="12"/>
    </row>
    <row r="6" spans="2:10" ht="15" customHeight="1" x14ac:dyDescent="0.25">
      <c r="B6" s="66" t="s">
        <v>56</v>
      </c>
      <c r="C6" s="66" t="s">
        <v>2</v>
      </c>
      <c r="D6" s="66" t="s">
        <v>20</v>
      </c>
      <c r="E6" s="63" t="s">
        <v>6</v>
      </c>
      <c r="F6" s="65"/>
      <c r="G6" s="63" t="s">
        <v>8</v>
      </c>
      <c r="H6" s="64"/>
      <c r="I6" s="64"/>
      <c r="J6" s="65"/>
    </row>
    <row r="7" spans="2:10" ht="36" customHeight="1" x14ac:dyDescent="0.25">
      <c r="B7" s="66"/>
      <c r="C7" s="66"/>
      <c r="D7" s="66"/>
      <c r="E7" s="43" t="s">
        <v>9</v>
      </c>
      <c r="F7" s="43" t="s">
        <v>10</v>
      </c>
      <c r="G7" s="43" t="s">
        <v>12</v>
      </c>
      <c r="H7" s="43" t="s">
        <v>13</v>
      </c>
      <c r="I7" s="43" t="s">
        <v>14</v>
      </c>
      <c r="J7" s="43" t="s">
        <v>15</v>
      </c>
    </row>
    <row r="8" spans="2:10" ht="15" customHeight="1" x14ac:dyDescent="0.25">
      <c r="B8" s="18" t="s">
        <v>60</v>
      </c>
      <c r="C8" s="19" t="s">
        <v>61</v>
      </c>
      <c r="D8" s="45">
        <v>2.5</v>
      </c>
      <c r="E8" s="46">
        <v>1</v>
      </c>
      <c r="F8" s="46">
        <v>4</v>
      </c>
      <c r="G8" s="47">
        <v>0.42699999999999999</v>
      </c>
      <c r="H8" s="47">
        <v>1.3204</v>
      </c>
      <c r="I8" s="47">
        <v>1.7474000000000001</v>
      </c>
      <c r="J8" s="47">
        <v>0.64539999999999997</v>
      </c>
    </row>
    <row r="9" spans="2:10" ht="15" customHeight="1" x14ac:dyDescent="0.25">
      <c r="B9" s="18" t="s">
        <v>62</v>
      </c>
      <c r="C9" s="19" t="s">
        <v>63</v>
      </c>
      <c r="D9" s="45">
        <v>1.7</v>
      </c>
      <c r="E9" s="46">
        <v>1</v>
      </c>
      <c r="F9" s="46">
        <v>3</v>
      </c>
      <c r="G9" s="47">
        <v>0.31979999999999997</v>
      </c>
      <c r="H9" s="47">
        <v>0.56420000000000003</v>
      </c>
      <c r="I9" s="47">
        <v>0.88400000000000001</v>
      </c>
      <c r="J9" s="47">
        <v>0.33200000000000002</v>
      </c>
    </row>
    <row r="10" spans="2:10" ht="15" customHeight="1" x14ac:dyDescent="0.25">
      <c r="B10" s="18" t="s">
        <v>64</v>
      </c>
      <c r="C10" s="19" t="s">
        <v>65</v>
      </c>
      <c r="D10" s="45">
        <v>1.9</v>
      </c>
      <c r="E10" s="46">
        <v>1</v>
      </c>
      <c r="F10" s="46">
        <v>4</v>
      </c>
      <c r="G10" s="47">
        <v>0.45269999999999999</v>
      </c>
      <c r="H10" s="47">
        <v>0.30470000000000003</v>
      </c>
      <c r="I10" s="47">
        <v>0.75749999999999995</v>
      </c>
      <c r="J10" s="47">
        <v>0.39400000000000002</v>
      </c>
    </row>
    <row r="11" spans="2:10" ht="15" customHeight="1" x14ac:dyDescent="0.25">
      <c r="B11" s="18" t="s">
        <v>66</v>
      </c>
      <c r="C11" s="19" t="s">
        <v>67</v>
      </c>
      <c r="D11" s="45">
        <v>13.9</v>
      </c>
      <c r="E11" s="46">
        <v>9</v>
      </c>
      <c r="F11" s="46">
        <v>21</v>
      </c>
      <c r="G11" s="47">
        <v>0.42530000000000001</v>
      </c>
      <c r="H11" s="47">
        <v>0.73399999999999999</v>
      </c>
      <c r="I11" s="47">
        <v>7.0316999999999998</v>
      </c>
      <c r="J11" s="47">
        <v>0.44230000000000003</v>
      </c>
    </row>
    <row r="12" spans="2:10" ht="15" customHeight="1" x14ac:dyDescent="0.25">
      <c r="B12" s="18" t="s">
        <v>68</v>
      </c>
      <c r="C12" s="19" t="s">
        <v>69</v>
      </c>
      <c r="D12" s="45">
        <v>7.2</v>
      </c>
      <c r="E12" s="46">
        <v>5</v>
      </c>
      <c r="F12" s="46">
        <v>11</v>
      </c>
      <c r="G12" s="47">
        <v>0.38719999999999999</v>
      </c>
      <c r="H12" s="47">
        <v>0.67559999999999998</v>
      </c>
      <c r="I12" s="47">
        <v>3.7648999999999999</v>
      </c>
      <c r="J12" s="47">
        <v>0.47489999999999999</v>
      </c>
    </row>
    <row r="13" spans="2:10" ht="15" customHeight="1" x14ac:dyDescent="0.25">
      <c r="B13" s="18" t="s">
        <v>70</v>
      </c>
      <c r="C13" s="19" t="s">
        <v>71</v>
      </c>
      <c r="D13" s="45">
        <v>8.6</v>
      </c>
      <c r="E13" s="46">
        <v>5</v>
      </c>
      <c r="F13" s="46">
        <v>13</v>
      </c>
      <c r="G13" s="47">
        <v>0.25790000000000002</v>
      </c>
      <c r="H13" s="47">
        <v>0.66800000000000004</v>
      </c>
      <c r="I13" s="47">
        <v>3.5979999999999999</v>
      </c>
      <c r="J13" s="47">
        <v>0.37530000000000002</v>
      </c>
    </row>
    <row r="14" spans="2:10" ht="15" customHeight="1" x14ac:dyDescent="0.25">
      <c r="B14" s="18" t="s">
        <v>72</v>
      </c>
      <c r="C14" s="19" t="s">
        <v>73</v>
      </c>
      <c r="D14" s="45">
        <v>19.8</v>
      </c>
      <c r="E14" s="46">
        <v>13</v>
      </c>
      <c r="F14" s="46">
        <v>30</v>
      </c>
      <c r="G14" s="47">
        <v>0.55010000000000003</v>
      </c>
      <c r="H14" s="47">
        <v>0.3836</v>
      </c>
      <c r="I14" s="47">
        <v>5.5370999999999997</v>
      </c>
      <c r="J14" s="47">
        <v>0.2477</v>
      </c>
    </row>
    <row r="15" spans="2:10" ht="15" customHeight="1" x14ac:dyDescent="0.25">
      <c r="B15" s="18" t="s">
        <v>74</v>
      </c>
      <c r="C15" s="19" t="s">
        <v>75</v>
      </c>
      <c r="D15" s="45">
        <v>14.8</v>
      </c>
      <c r="E15" s="46">
        <v>10</v>
      </c>
      <c r="F15" s="46">
        <v>23</v>
      </c>
      <c r="G15" s="47">
        <v>0.49170000000000003</v>
      </c>
      <c r="H15" s="47">
        <v>0.37380000000000002</v>
      </c>
      <c r="I15" s="47">
        <v>4.2300000000000004</v>
      </c>
      <c r="J15" s="47">
        <v>0.23630000000000001</v>
      </c>
    </row>
    <row r="16" spans="2:10" ht="15" customHeight="1" x14ac:dyDescent="0.25">
      <c r="B16" s="18" t="s">
        <v>76</v>
      </c>
      <c r="C16" s="19" t="s">
        <v>77</v>
      </c>
      <c r="D16" s="45">
        <v>14.8</v>
      </c>
      <c r="E16" s="46">
        <v>10</v>
      </c>
      <c r="F16" s="46">
        <v>23</v>
      </c>
      <c r="G16" s="47">
        <v>0.49170000000000003</v>
      </c>
      <c r="H16" s="47">
        <v>0.37380000000000002</v>
      </c>
      <c r="I16" s="47">
        <v>4.2300000000000004</v>
      </c>
      <c r="J16" s="47">
        <v>0.23630000000000001</v>
      </c>
    </row>
    <row r="17" spans="2:10" ht="15" customHeight="1" x14ac:dyDescent="0.25">
      <c r="B17" s="18" t="s">
        <v>78</v>
      </c>
      <c r="C17" s="19" t="s">
        <v>79</v>
      </c>
      <c r="D17" s="45">
        <v>11</v>
      </c>
      <c r="E17" s="46">
        <v>7</v>
      </c>
      <c r="F17" s="46">
        <v>16</v>
      </c>
      <c r="G17" s="47">
        <v>0.39119999999999999</v>
      </c>
      <c r="H17" s="47">
        <v>0.376</v>
      </c>
      <c r="I17" s="47">
        <v>3.0234000000000001</v>
      </c>
      <c r="J17" s="47">
        <v>0.24210000000000001</v>
      </c>
    </row>
    <row r="18" spans="2:10" ht="15" customHeight="1" x14ac:dyDescent="0.25">
      <c r="B18" s="18" t="s">
        <v>80</v>
      </c>
      <c r="C18" s="19" t="s">
        <v>81</v>
      </c>
      <c r="D18" s="45">
        <v>7.8</v>
      </c>
      <c r="E18" s="46">
        <v>5</v>
      </c>
      <c r="F18" s="46">
        <v>12</v>
      </c>
      <c r="G18" s="47">
        <v>0.32190000000000002</v>
      </c>
      <c r="H18" s="47">
        <v>0.4098</v>
      </c>
      <c r="I18" s="47">
        <v>2.3708999999999998</v>
      </c>
      <c r="J18" s="47">
        <v>0.26079999999999998</v>
      </c>
    </row>
    <row r="19" spans="2:10" ht="15" customHeight="1" x14ac:dyDescent="0.25">
      <c r="B19" s="18" t="s">
        <v>82</v>
      </c>
      <c r="C19" s="19" t="s">
        <v>83</v>
      </c>
      <c r="D19" s="45">
        <v>7.8</v>
      </c>
      <c r="E19" s="46">
        <v>5</v>
      </c>
      <c r="F19" s="46">
        <v>12</v>
      </c>
      <c r="G19" s="47">
        <v>0.32190000000000002</v>
      </c>
      <c r="H19" s="47">
        <v>0.4098</v>
      </c>
      <c r="I19" s="47">
        <v>2.3708999999999998</v>
      </c>
      <c r="J19" s="47">
        <v>0.26079999999999998</v>
      </c>
    </row>
    <row r="20" spans="2:10" ht="15" customHeight="1" x14ac:dyDescent="0.25">
      <c r="B20" s="18" t="s">
        <v>84</v>
      </c>
      <c r="C20" s="19" t="s">
        <v>85</v>
      </c>
      <c r="D20" s="45">
        <v>35.200000000000003</v>
      </c>
      <c r="E20" s="46">
        <v>22</v>
      </c>
      <c r="F20" s="46">
        <v>51</v>
      </c>
      <c r="G20" s="47">
        <v>0.82789999999999997</v>
      </c>
      <c r="H20" s="47">
        <v>0.3609</v>
      </c>
      <c r="I20" s="47">
        <v>8.7676999999999996</v>
      </c>
      <c r="J20" s="47">
        <v>0.2205</v>
      </c>
    </row>
    <row r="21" spans="2:10" ht="15" customHeight="1" x14ac:dyDescent="0.25">
      <c r="B21" s="18" t="s">
        <v>86</v>
      </c>
      <c r="C21" s="19" t="s">
        <v>87</v>
      </c>
      <c r="D21" s="45">
        <v>25.5</v>
      </c>
      <c r="E21" s="46">
        <v>16</v>
      </c>
      <c r="F21" s="46">
        <v>38</v>
      </c>
      <c r="G21" s="47">
        <v>0.4798</v>
      </c>
      <c r="H21" s="47">
        <v>0.36859999999999998</v>
      </c>
      <c r="I21" s="47">
        <v>6.3781999999999996</v>
      </c>
      <c r="J21" s="47">
        <v>0.23130000000000001</v>
      </c>
    </row>
    <row r="22" spans="2:10" ht="15" customHeight="1" x14ac:dyDescent="0.25">
      <c r="B22" s="18" t="s">
        <v>88</v>
      </c>
      <c r="C22" s="19" t="s">
        <v>89</v>
      </c>
      <c r="D22" s="45">
        <v>25.5</v>
      </c>
      <c r="E22" s="46">
        <v>16</v>
      </c>
      <c r="F22" s="46">
        <v>38</v>
      </c>
      <c r="G22" s="47">
        <v>0.4798</v>
      </c>
      <c r="H22" s="47">
        <v>0.36859999999999998</v>
      </c>
      <c r="I22" s="47">
        <v>6.3781999999999996</v>
      </c>
      <c r="J22" s="47">
        <v>0.23130000000000001</v>
      </c>
    </row>
    <row r="23" spans="2:10" ht="15" customHeight="1" x14ac:dyDescent="0.25">
      <c r="B23" s="18" t="s">
        <v>90</v>
      </c>
      <c r="C23" s="19" t="s">
        <v>91</v>
      </c>
      <c r="D23" s="45">
        <v>10.6</v>
      </c>
      <c r="E23" s="46">
        <v>7</v>
      </c>
      <c r="F23" s="46">
        <v>16</v>
      </c>
      <c r="G23" s="47">
        <v>0.66979999999999995</v>
      </c>
      <c r="H23" s="47">
        <v>0.62629999999999997</v>
      </c>
      <c r="I23" s="47">
        <v>5.0541</v>
      </c>
      <c r="J23" s="47">
        <v>0.38379999999999997</v>
      </c>
    </row>
    <row r="24" spans="2:10" ht="15" customHeight="1" x14ac:dyDescent="0.25">
      <c r="B24" s="18" t="s">
        <v>92</v>
      </c>
      <c r="C24" s="19" t="s">
        <v>93</v>
      </c>
      <c r="D24" s="45">
        <v>10.9</v>
      </c>
      <c r="E24" s="46">
        <v>7</v>
      </c>
      <c r="F24" s="46">
        <v>16</v>
      </c>
      <c r="G24" s="47">
        <v>0.6875</v>
      </c>
      <c r="H24" s="47">
        <v>0.60760000000000003</v>
      </c>
      <c r="I24" s="47">
        <v>4.9409000000000001</v>
      </c>
      <c r="J24" s="47">
        <v>0.35160000000000002</v>
      </c>
    </row>
    <row r="25" spans="2:10" ht="15" customHeight="1" x14ac:dyDescent="0.25">
      <c r="B25" s="18" t="s">
        <v>94</v>
      </c>
      <c r="C25" s="19" t="s">
        <v>95</v>
      </c>
      <c r="D25" s="45">
        <v>10.9</v>
      </c>
      <c r="E25" s="46">
        <v>7</v>
      </c>
      <c r="F25" s="46">
        <v>16</v>
      </c>
      <c r="G25" s="47">
        <v>0.6875</v>
      </c>
      <c r="H25" s="47">
        <v>0.60760000000000003</v>
      </c>
      <c r="I25" s="47">
        <v>4.9409000000000001</v>
      </c>
      <c r="J25" s="47">
        <v>0.35160000000000002</v>
      </c>
    </row>
    <row r="26" spans="2:10" ht="15" customHeight="1" x14ac:dyDescent="0.25">
      <c r="B26" s="18" t="s">
        <v>96</v>
      </c>
      <c r="C26" s="19" t="s">
        <v>97</v>
      </c>
      <c r="D26" s="45">
        <v>26</v>
      </c>
      <c r="E26" s="46">
        <v>17</v>
      </c>
      <c r="F26" s="46">
        <v>39</v>
      </c>
      <c r="G26" s="47">
        <v>0.6593</v>
      </c>
      <c r="H26" s="47">
        <v>0.30809999999999998</v>
      </c>
      <c r="I26" s="47">
        <v>5.8970000000000002</v>
      </c>
      <c r="J26" s="47">
        <v>0.18759999999999999</v>
      </c>
    </row>
    <row r="27" spans="2:10" ht="15" customHeight="1" x14ac:dyDescent="0.25">
      <c r="B27" s="18" t="s">
        <v>98</v>
      </c>
      <c r="C27" s="19" t="s">
        <v>99</v>
      </c>
      <c r="D27" s="45">
        <v>15.8</v>
      </c>
      <c r="E27" s="46">
        <v>10</v>
      </c>
      <c r="F27" s="46">
        <v>24</v>
      </c>
      <c r="G27" s="47">
        <v>0.49280000000000002</v>
      </c>
      <c r="H27" s="47">
        <v>0.35</v>
      </c>
      <c r="I27" s="47">
        <v>3.9925999999999999</v>
      </c>
      <c r="J27" s="47">
        <v>0.19350000000000001</v>
      </c>
    </row>
    <row r="28" spans="2:10" ht="15" customHeight="1" x14ac:dyDescent="0.25">
      <c r="B28" s="18" t="s">
        <v>100</v>
      </c>
      <c r="C28" s="19" t="s">
        <v>101</v>
      </c>
      <c r="D28" s="45">
        <v>15.8</v>
      </c>
      <c r="E28" s="46">
        <v>10</v>
      </c>
      <c r="F28" s="46">
        <v>24</v>
      </c>
      <c r="G28" s="47">
        <v>0.49280000000000002</v>
      </c>
      <c r="H28" s="47">
        <v>0.35</v>
      </c>
      <c r="I28" s="47">
        <v>3.9925999999999999</v>
      </c>
      <c r="J28" s="47">
        <v>0.19350000000000001</v>
      </c>
    </row>
    <row r="29" spans="2:10" ht="15" customHeight="1" x14ac:dyDescent="0.25">
      <c r="B29" s="18" t="s">
        <v>102</v>
      </c>
      <c r="C29" s="19" t="s">
        <v>103</v>
      </c>
      <c r="D29" s="45">
        <v>19.600000000000001</v>
      </c>
      <c r="E29" s="46">
        <v>13</v>
      </c>
      <c r="F29" s="46">
        <v>29</v>
      </c>
      <c r="G29" s="47">
        <v>0.34910000000000002</v>
      </c>
      <c r="H29" s="47">
        <v>0.3821</v>
      </c>
      <c r="I29" s="47">
        <v>5.3159000000000001</v>
      </c>
      <c r="J29" s="47">
        <v>0.25779999999999997</v>
      </c>
    </row>
    <row r="30" spans="2:10" ht="15" customHeight="1" x14ac:dyDescent="0.25">
      <c r="B30" s="18" t="s">
        <v>104</v>
      </c>
      <c r="C30" s="19" t="s">
        <v>105</v>
      </c>
      <c r="D30" s="45">
        <v>8</v>
      </c>
      <c r="E30" s="46">
        <v>5</v>
      </c>
      <c r="F30" s="46">
        <v>12</v>
      </c>
      <c r="G30" s="47">
        <v>0.44280000000000003</v>
      </c>
      <c r="H30" s="47">
        <v>0.3553</v>
      </c>
      <c r="I30" s="47">
        <v>2.2193999999999998</v>
      </c>
      <c r="J30" s="47">
        <v>0.223</v>
      </c>
    </row>
    <row r="31" spans="2:10" ht="15" customHeight="1" x14ac:dyDescent="0.25">
      <c r="B31" s="18" t="s">
        <v>106</v>
      </c>
      <c r="C31" s="19" t="s">
        <v>107</v>
      </c>
      <c r="D31" s="45">
        <v>8</v>
      </c>
      <c r="E31" s="46">
        <v>5</v>
      </c>
      <c r="F31" s="46">
        <v>12</v>
      </c>
      <c r="G31" s="47">
        <v>0.44280000000000003</v>
      </c>
      <c r="H31" s="47">
        <v>0.3553</v>
      </c>
      <c r="I31" s="47">
        <v>2.2193999999999998</v>
      </c>
      <c r="J31" s="47">
        <v>0.223</v>
      </c>
    </row>
    <row r="32" spans="2:10" ht="15" customHeight="1" x14ac:dyDescent="0.25">
      <c r="B32" s="18" t="s">
        <v>108</v>
      </c>
      <c r="C32" s="19" t="s">
        <v>109</v>
      </c>
      <c r="D32" s="45">
        <v>30.1</v>
      </c>
      <c r="E32" s="46"/>
      <c r="F32" s="46"/>
      <c r="G32" s="47">
        <v>0.43859999999999999</v>
      </c>
      <c r="H32" s="47"/>
      <c r="I32" s="47"/>
      <c r="J32" s="47">
        <v>0.39679999999999999</v>
      </c>
    </row>
    <row r="33" spans="2:10" ht="15" customHeight="1" x14ac:dyDescent="0.25">
      <c r="B33" s="18" t="s">
        <v>110</v>
      </c>
      <c r="C33" s="19" t="s">
        <v>111</v>
      </c>
      <c r="D33" s="45">
        <v>30.1</v>
      </c>
      <c r="E33" s="46"/>
      <c r="F33" s="46"/>
      <c r="G33" s="47">
        <v>0.43859999999999999</v>
      </c>
      <c r="H33" s="47"/>
      <c r="I33" s="47"/>
      <c r="J33" s="47">
        <v>0.39679999999999999</v>
      </c>
    </row>
    <row r="34" spans="2:10" ht="15" customHeight="1" x14ac:dyDescent="0.25">
      <c r="B34" s="18" t="s">
        <v>112</v>
      </c>
      <c r="C34" s="19" t="s">
        <v>113</v>
      </c>
      <c r="D34" s="45">
        <v>30.1</v>
      </c>
      <c r="E34" s="46"/>
      <c r="F34" s="46"/>
      <c r="G34" s="47">
        <v>0.43859999999999999</v>
      </c>
      <c r="H34" s="47"/>
      <c r="I34" s="47"/>
      <c r="J34" s="47">
        <v>0.39679999999999999</v>
      </c>
    </row>
    <row r="35" spans="2:10" ht="15" customHeight="1" x14ac:dyDescent="0.25">
      <c r="B35" s="18" t="s">
        <v>114</v>
      </c>
      <c r="C35" s="19" t="s">
        <v>115</v>
      </c>
      <c r="D35" s="45">
        <v>33.700000000000003</v>
      </c>
      <c r="E35" s="46">
        <v>22</v>
      </c>
      <c r="F35" s="46">
        <v>51</v>
      </c>
      <c r="G35" s="47">
        <v>1.3446</v>
      </c>
      <c r="H35" s="47">
        <v>0.2414</v>
      </c>
      <c r="I35" s="47">
        <v>6.6558999999999999</v>
      </c>
      <c r="J35" s="47">
        <v>0.1396</v>
      </c>
    </row>
    <row r="36" spans="2:10" ht="15" customHeight="1" x14ac:dyDescent="0.25">
      <c r="B36" s="18" t="s">
        <v>116</v>
      </c>
      <c r="C36" s="19" t="s">
        <v>117</v>
      </c>
      <c r="D36" s="45">
        <v>19.600000000000001</v>
      </c>
      <c r="E36" s="46">
        <v>13</v>
      </c>
      <c r="F36" s="46">
        <v>29</v>
      </c>
      <c r="G36" s="47">
        <v>0.27779999999999999</v>
      </c>
      <c r="H36" s="47">
        <v>0.37480000000000002</v>
      </c>
      <c r="I36" s="47">
        <v>5.1508000000000003</v>
      </c>
      <c r="J36" s="47">
        <v>0.25509999999999999</v>
      </c>
    </row>
    <row r="37" spans="2:10" ht="15" customHeight="1" x14ac:dyDescent="0.25">
      <c r="B37" s="18" t="s">
        <v>118</v>
      </c>
      <c r="C37" s="19" t="s">
        <v>119</v>
      </c>
      <c r="D37" s="45">
        <v>19.600000000000001</v>
      </c>
      <c r="E37" s="46">
        <v>13</v>
      </c>
      <c r="F37" s="46">
        <v>29</v>
      </c>
      <c r="G37" s="47">
        <v>0.27779999999999999</v>
      </c>
      <c r="H37" s="47">
        <v>0.37480000000000002</v>
      </c>
      <c r="I37" s="47">
        <v>5.1508000000000003</v>
      </c>
      <c r="J37" s="47">
        <v>0.25509999999999999</v>
      </c>
    </row>
    <row r="38" spans="2:10" ht="15" customHeight="1" x14ac:dyDescent="0.25">
      <c r="B38" s="18" t="s">
        <v>120</v>
      </c>
      <c r="C38" s="19" t="s">
        <v>121</v>
      </c>
      <c r="D38" s="45">
        <v>19.899999999999999</v>
      </c>
      <c r="E38" s="46">
        <v>13</v>
      </c>
      <c r="F38" s="46">
        <v>30</v>
      </c>
      <c r="G38" s="47">
        <v>0.5736</v>
      </c>
      <c r="H38" s="47">
        <v>0.40100000000000002</v>
      </c>
      <c r="I38" s="47">
        <v>5.7859999999999996</v>
      </c>
      <c r="J38" s="47">
        <v>0.2286</v>
      </c>
    </row>
    <row r="39" spans="2:10" ht="15" customHeight="1" x14ac:dyDescent="0.25">
      <c r="B39" s="18" t="s">
        <v>122</v>
      </c>
      <c r="C39" s="19" t="s">
        <v>123</v>
      </c>
      <c r="D39" s="45">
        <v>19.899999999999999</v>
      </c>
      <c r="E39" s="46">
        <v>13</v>
      </c>
      <c r="F39" s="46">
        <v>30</v>
      </c>
      <c r="G39" s="47">
        <v>0.5736</v>
      </c>
      <c r="H39" s="47">
        <v>0.40100000000000002</v>
      </c>
      <c r="I39" s="47">
        <v>5.7859999999999996</v>
      </c>
      <c r="J39" s="47">
        <v>0.2286</v>
      </c>
    </row>
    <row r="40" spans="2:10" ht="15" customHeight="1" x14ac:dyDescent="0.25">
      <c r="B40" s="18" t="s">
        <v>124</v>
      </c>
      <c r="C40" s="19" t="s">
        <v>125</v>
      </c>
      <c r="D40" s="45">
        <v>19.899999999999999</v>
      </c>
      <c r="E40" s="46">
        <v>13</v>
      </c>
      <c r="F40" s="46">
        <v>30</v>
      </c>
      <c r="G40" s="47">
        <v>0.5736</v>
      </c>
      <c r="H40" s="47">
        <v>0.40100000000000002</v>
      </c>
      <c r="I40" s="47">
        <v>5.7859999999999996</v>
      </c>
      <c r="J40" s="47">
        <v>0.2286</v>
      </c>
    </row>
    <row r="41" spans="2:10" ht="15" customHeight="1" x14ac:dyDescent="0.25">
      <c r="B41" s="18" t="s">
        <v>126</v>
      </c>
      <c r="C41" s="19" t="s">
        <v>127</v>
      </c>
      <c r="D41" s="45">
        <v>7.5</v>
      </c>
      <c r="E41" s="46"/>
      <c r="F41" s="46"/>
      <c r="G41" s="47">
        <v>1.9736</v>
      </c>
      <c r="H41" s="47"/>
      <c r="I41" s="47"/>
      <c r="J41" s="47">
        <v>0.1207</v>
      </c>
    </row>
    <row r="42" spans="2:10" ht="15" customHeight="1" x14ac:dyDescent="0.25">
      <c r="B42" s="18" t="s">
        <v>128</v>
      </c>
      <c r="C42" s="19" t="s">
        <v>129</v>
      </c>
      <c r="D42" s="45">
        <v>35.299999999999997</v>
      </c>
      <c r="E42" s="46">
        <v>23</v>
      </c>
      <c r="F42" s="46">
        <v>53</v>
      </c>
      <c r="G42" s="47">
        <v>1.1143000000000001</v>
      </c>
      <c r="H42" s="47">
        <v>0.31309999999999999</v>
      </c>
      <c r="I42" s="47">
        <v>8.3164999999999996</v>
      </c>
      <c r="J42" s="47">
        <v>0.17219999999999999</v>
      </c>
    </row>
    <row r="43" spans="2:10" ht="15" customHeight="1" x14ac:dyDescent="0.25">
      <c r="B43" s="18" t="s">
        <v>130</v>
      </c>
      <c r="C43" s="19" t="s">
        <v>131</v>
      </c>
      <c r="D43" s="45">
        <v>14.8</v>
      </c>
      <c r="E43" s="46">
        <v>9</v>
      </c>
      <c r="F43" s="46">
        <v>22</v>
      </c>
      <c r="G43" s="47">
        <v>0.46610000000000001</v>
      </c>
      <c r="H43" s="47">
        <v>0.39700000000000002</v>
      </c>
      <c r="I43" s="47">
        <v>4.0393999999999997</v>
      </c>
      <c r="J43" s="47">
        <v>0.21759999999999999</v>
      </c>
    </row>
    <row r="44" spans="2:10" ht="15" customHeight="1" x14ac:dyDescent="0.25">
      <c r="B44" s="18" t="s">
        <v>132</v>
      </c>
      <c r="C44" s="19" t="s">
        <v>133</v>
      </c>
      <c r="D44" s="45">
        <v>14.8</v>
      </c>
      <c r="E44" s="46">
        <v>9</v>
      </c>
      <c r="F44" s="46">
        <v>22</v>
      </c>
      <c r="G44" s="47">
        <v>0.46610000000000001</v>
      </c>
      <c r="H44" s="47">
        <v>0.39700000000000002</v>
      </c>
      <c r="I44" s="47">
        <v>4.0393999999999997</v>
      </c>
      <c r="J44" s="47">
        <v>0.21759999999999999</v>
      </c>
    </row>
    <row r="45" spans="2:10" ht="15" customHeight="1" x14ac:dyDescent="0.25">
      <c r="B45" s="18" t="s">
        <v>134</v>
      </c>
      <c r="C45" s="19" t="s">
        <v>135</v>
      </c>
      <c r="D45" s="45">
        <v>9.3000000000000007</v>
      </c>
      <c r="E45" s="46">
        <v>6</v>
      </c>
      <c r="F45" s="46">
        <v>14</v>
      </c>
      <c r="G45" s="47">
        <v>0.35099999999999998</v>
      </c>
      <c r="H45" s="47">
        <v>0.43359999999999999</v>
      </c>
      <c r="I45" s="47">
        <v>2.9525000000000001</v>
      </c>
      <c r="J45" s="47">
        <v>0.2346</v>
      </c>
    </row>
    <row r="46" spans="2:10" ht="15" customHeight="1" x14ac:dyDescent="0.25">
      <c r="B46" s="18" t="s">
        <v>136</v>
      </c>
      <c r="C46" s="19" t="s">
        <v>137</v>
      </c>
      <c r="D46" s="45">
        <v>9.3000000000000007</v>
      </c>
      <c r="E46" s="46">
        <v>6</v>
      </c>
      <c r="F46" s="46">
        <v>14</v>
      </c>
      <c r="G46" s="47">
        <v>0.35099999999999998</v>
      </c>
      <c r="H46" s="47">
        <v>0.43359999999999999</v>
      </c>
      <c r="I46" s="47">
        <v>2.9525000000000001</v>
      </c>
      <c r="J46" s="47">
        <v>0.2346</v>
      </c>
    </row>
    <row r="47" spans="2:10" ht="15" customHeight="1" x14ac:dyDescent="0.25">
      <c r="B47" s="18" t="s">
        <v>138</v>
      </c>
      <c r="C47" s="19" t="s">
        <v>139</v>
      </c>
      <c r="D47" s="45">
        <v>9.3000000000000007</v>
      </c>
      <c r="E47" s="46">
        <v>6</v>
      </c>
      <c r="F47" s="46">
        <v>14</v>
      </c>
      <c r="G47" s="47">
        <v>0.35099999999999998</v>
      </c>
      <c r="H47" s="47">
        <v>0.43359999999999999</v>
      </c>
      <c r="I47" s="47">
        <v>2.9525000000000001</v>
      </c>
      <c r="J47" s="47">
        <v>0.2346</v>
      </c>
    </row>
    <row r="48" spans="2:10" ht="15" customHeight="1" x14ac:dyDescent="0.25">
      <c r="B48" s="18" t="s">
        <v>140</v>
      </c>
      <c r="C48" s="19" t="s">
        <v>141</v>
      </c>
      <c r="D48" s="45">
        <v>4.5999999999999996</v>
      </c>
      <c r="E48" s="46">
        <v>3</v>
      </c>
      <c r="F48" s="46">
        <v>7</v>
      </c>
      <c r="G48" s="47">
        <v>0.34339999999999998</v>
      </c>
      <c r="H48" s="47">
        <v>0.60450000000000004</v>
      </c>
      <c r="I48" s="47">
        <v>2.1568000000000001</v>
      </c>
      <c r="J48" s="47">
        <v>0.33119999999999999</v>
      </c>
    </row>
    <row r="49" spans="2:10" ht="15" customHeight="1" x14ac:dyDescent="0.25">
      <c r="B49" s="18" t="s">
        <v>142</v>
      </c>
      <c r="C49" s="19" t="s">
        <v>143</v>
      </c>
      <c r="D49" s="45">
        <v>6</v>
      </c>
      <c r="E49" s="46">
        <v>4</v>
      </c>
      <c r="F49" s="46">
        <v>9</v>
      </c>
      <c r="G49" s="47">
        <v>0.25719999999999998</v>
      </c>
      <c r="H49" s="47">
        <v>0.39419999999999999</v>
      </c>
      <c r="I49" s="47">
        <v>1.8339000000000001</v>
      </c>
      <c r="J49" s="47">
        <v>0.253</v>
      </c>
    </row>
    <row r="50" spans="2:10" ht="15" customHeight="1" x14ac:dyDescent="0.25">
      <c r="B50" s="18" t="s">
        <v>144</v>
      </c>
      <c r="C50" s="19" t="s">
        <v>145</v>
      </c>
      <c r="D50" s="45">
        <v>9</v>
      </c>
      <c r="E50" s="46">
        <v>5</v>
      </c>
      <c r="F50" s="46">
        <v>13</v>
      </c>
      <c r="G50" s="47">
        <v>0.31119999999999998</v>
      </c>
      <c r="H50" s="47">
        <v>0.4501</v>
      </c>
      <c r="I50" s="47">
        <v>2.5617999999999999</v>
      </c>
      <c r="J50" s="47">
        <v>0.24179999999999999</v>
      </c>
    </row>
  </sheetData>
  <mergeCells count="5">
    <mergeCell ref="B6:B7"/>
    <mergeCell ref="C6:C7"/>
    <mergeCell ref="D6:D7"/>
    <mergeCell ref="E6:F6"/>
    <mergeCell ref="G6:J6"/>
  </mergeCells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1B92-A76A-4FAC-ADF2-ABEAA2A6B322}">
  <sheetPr>
    <tabColor theme="4" tint="0.39997558519241921"/>
    <pageSetUpPr fitToPage="1"/>
  </sheetPr>
  <dimension ref="B1:G53"/>
  <sheetViews>
    <sheetView zoomScaleNormal="100" workbookViewId="0"/>
  </sheetViews>
  <sheetFormatPr defaultColWidth="9.140625" defaultRowHeight="15" customHeight="1" x14ac:dyDescent="0.25"/>
  <cols>
    <col min="1" max="1" width="2.7109375" style="12" customWidth="1"/>
    <col min="2" max="2" width="10.7109375" style="12" customWidth="1"/>
    <col min="3" max="3" width="105.7109375" style="12" customWidth="1"/>
    <col min="4" max="5" width="21.5703125" style="12" customWidth="1"/>
    <col min="6" max="6" width="16.28515625" style="12" customWidth="1"/>
    <col min="7" max="7" width="19.140625" style="12" customWidth="1"/>
    <col min="8" max="16384" width="9.140625" style="12"/>
  </cols>
  <sheetData>
    <row r="1" spans="2:7" ht="20.100000000000001" customHeight="1" x14ac:dyDescent="0.25"/>
    <row r="2" spans="2:7" ht="20.100000000000001" customHeight="1" x14ac:dyDescent="0.3">
      <c r="B2" s="41" t="s">
        <v>45</v>
      </c>
    </row>
    <row r="3" spans="2:7" ht="20.100000000000001" customHeight="1" x14ac:dyDescent="0.25">
      <c r="B3" s="3"/>
    </row>
    <row r="4" spans="2:7" ht="20.100000000000001" customHeight="1" x14ac:dyDescent="0.25">
      <c r="B4" s="4" t="s">
        <v>46</v>
      </c>
    </row>
    <row r="5" spans="2:7" ht="20.100000000000001" customHeight="1" x14ac:dyDescent="0.25"/>
    <row r="6" spans="2:7" ht="15" customHeight="1" x14ac:dyDescent="0.25">
      <c r="B6" s="66" t="s">
        <v>56</v>
      </c>
      <c r="C6" s="66" t="s">
        <v>2</v>
      </c>
      <c r="D6" s="63" t="s">
        <v>59</v>
      </c>
      <c r="E6" s="65"/>
    </row>
    <row r="7" spans="2:7" ht="36" customHeight="1" x14ac:dyDescent="0.25">
      <c r="B7" s="66"/>
      <c r="C7" s="66"/>
      <c r="D7" s="43" t="s">
        <v>39</v>
      </c>
      <c r="E7" s="43" t="s">
        <v>40</v>
      </c>
      <c r="G7" s="42"/>
    </row>
    <row r="8" spans="2:7" ht="15" customHeight="1" x14ac:dyDescent="0.25">
      <c r="B8" s="18" t="s">
        <v>146</v>
      </c>
      <c r="C8" s="19" t="s">
        <v>147</v>
      </c>
      <c r="D8" s="48">
        <v>8.72E-2</v>
      </c>
      <c r="E8" s="48">
        <v>5.7500000000000002E-2</v>
      </c>
    </row>
    <row r="9" spans="2:7" ht="15" customHeight="1" x14ac:dyDescent="0.25">
      <c r="B9" s="18" t="s">
        <v>148</v>
      </c>
      <c r="C9" s="19" t="s">
        <v>149</v>
      </c>
      <c r="D9" s="48">
        <v>7.9299999999999995E-2</v>
      </c>
      <c r="E9" s="48">
        <v>3.9300000000000002E-2</v>
      </c>
    </row>
    <row r="10" spans="2:7" ht="15" customHeight="1" x14ac:dyDescent="0.25">
      <c r="B10" s="18" t="s">
        <v>150</v>
      </c>
      <c r="C10" s="19" t="s">
        <v>151</v>
      </c>
      <c r="D10" s="48">
        <v>0.1004</v>
      </c>
      <c r="E10" s="48">
        <v>4.9599999999999998E-2</v>
      </c>
    </row>
    <row r="11" spans="2:7" ht="15" customHeight="1" x14ac:dyDescent="0.25">
      <c r="B11" s="18" t="s">
        <v>152</v>
      </c>
      <c r="C11" s="19" t="s">
        <v>153</v>
      </c>
      <c r="D11" s="48">
        <v>6.3299999999999995E-2</v>
      </c>
      <c r="E11" s="48">
        <v>5.0299999999999997E-2</v>
      </c>
    </row>
    <row r="12" spans="2:7" ht="15" customHeight="1" x14ac:dyDescent="0.25">
      <c r="B12" s="18" t="s">
        <v>154</v>
      </c>
      <c r="C12" s="19" t="s">
        <v>155</v>
      </c>
      <c r="D12" s="48">
        <v>5.6300000000000003E-2</v>
      </c>
      <c r="E12" s="48">
        <v>5.1499999999999997E-2</v>
      </c>
    </row>
    <row r="13" spans="2:7" ht="15" customHeight="1" x14ac:dyDescent="0.25">
      <c r="B13" s="18" t="s">
        <v>156</v>
      </c>
      <c r="C13" s="19" t="s">
        <v>157</v>
      </c>
      <c r="D13" s="48">
        <v>5.6300000000000003E-2</v>
      </c>
      <c r="E13" s="48">
        <v>4.5499999999999999E-2</v>
      </c>
    </row>
    <row r="14" spans="2:7" ht="15" customHeight="1" x14ac:dyDescent="0.25">
      <c r="B14" s="18" t="s">
        <v>158</v>
      </c>
      <c r="C14" s="19" t="s">
        <v>159</v>
      </c>
      <c r="D14" s="48">
        <v>5.2299999999999999E-2</v>
      </c>
      <c r="E14" s="48">
        <v>4.0399999999999998E-2</v>
      </c>
    </row>
    <row r="15" spans="2:7" ht="15" customHeight="1" x14ac:dyDescent="0.25">
      <c r="B15" s="18" t="s">
        <v>160</v>
      </c>
      <c r="C15" s="19" t="s">
        <v>161</v>
      </c>
      <c r="D15" s="48">
        <v>5.3800000000000001E-2</v>
      </c>
      <c r="E15" s="48">
        <v>3.5700000000000003E-2</v>
      </c>
    </row>
    <row r="16" spans="2:7" ht="15" customHeight="1" x14ac:dyDescent="0.25">
      <c r="B16" s="18" t="s">
        <v>162</v>
      </c>
      <c r="C16" s="19" t="s">
        <v>163</v>
      </c>
      <c r="D16" s="48">
        <v>4.6699999999999998E-2</v>
      </c>
      <c r="E16" s="48">
        <v>4.48E-2</v>
      </c>
    </row>
    <row r="17" spans="2:5" ht="15" customHeight="1" x14ac:dyDescent="0.25">
      <c r="B17" s="18" t="s">
        <v>164</v>
      </c>
      <c r="C17" s="19" t="s">
        <v>165</v>
      </c>
      <c r="D17" s="48">
        <v>4.6699999999999998E-2</v>
      </c>
      <c r="E17" s="48">
        <v>3.5700000000000003E-2</v>
      </c>
    </row>
    <row r="18" spans="2:5" ht="15" customHeight="1" x14ac:dyDescent="0.25">
      <c r="B18" s="18" t="s">
        <v>166</v>
      </c>
      <c r="C18" s="19" t="s">
        <v>167</v>
      </c>
      <c r="D18" s="48">
        <v>5.0299999999999997E-2</v>
      </c>
      <c r="E18" s="48">
        <v>4.3700000000000003E-2</v>
      </c>
    </row>
    <row r="19" spans="2:5" ht="15" customHeight="1" x14ac:dyDescent="0.25">
      <c r="B19" s="18" t="s">
        <v>168</v>
      </c>
      <c r="C19" s="19" t="s">
        <v>169</v>
      </c>
      <c r="D19" s="48">
        <v>5.7799999999999997E-2</v>
      </c>
      <c r="E19" s="48">
        <v>3.9699999999999999E-2</v>
      </c>
    </row>
    <row r="20" spans="2:5" ht="15" customHeight="1" x14ac:dyDescent="0.25">
      <c r="B20" s="18" t="s">
        <v>170</v>
      </c>
      <c r="C20" s="19" t="s">
        <v>171</v>
      </c>
      <c r="D20" s="48">
        <v>4.7500000000000001E-2</v>
      </c>
      <c r="E20" s="48">
        <v>3.2099999999999997E-2</v>
      </c>
    </row>
    <row r="21" spans="2:5" ht="15" customHeight="1" x14ac:dyDescent="0.25">
      <c r="B21" s="18" t="s">
        <v>172</v>
      </c>
      <c r="C21" s="19" t="s">
        <v>173</v>
      </c>
      <c r="D21" s="48">
        <v>8.3400000000000002E-2</v>
      </c>
      <c r="E21" s="48">
        <v>5.1200000000000002E-2</v>
      </c>
    </row>
    <row r="22" spans="2:5" ht="15" customHeight="1" x14ac:dyDescent="0.25">
      <c r="B22" s="18" t="s">
        <v>174</v>
      </c>
      <c r="C22" s="19" t="s">
        <v>175</v>
      </c>
      <c r="D22" s="48">
        <v>7.3499999999999996E-2</v>
      </c>
      <c r="E22" s="48">
        <v>5.3100000000000001E-2</v>
      </c>
    </row>
    <row r="23" spans="2:5" ht="15" customHeight="1" x14ac:dyDescent="0.25">
      <c r="B23" s="18" t="s">
        <v>176</v>
      </c>
      <c r="C23" s="19" t="s">
        <v>177</v>
      </c>
      <c r="D23" s="48">
        <v>6.0299999999999999E-2</v>
      </c>
      <c r="E23" s="48">
        <v>5.1200000000000002E-2</v>
      </c>
    </row>
    <row r="24" spans="2:5" ht="15" customHeight="1" x14ac:dyDescent="0.25">
      <c r="B24" s="18" t="s">
        <v>178</v>
      </c>
      <c r="C24" s="19" t="s">
        <v>179</v>
      </c>
      <c r="D24" s="48">
        <v>4.6899999999999997E-2</v>
      </c>
      <c r="E24" s="48">
        <v>4.0500000000000001E-2</v>
      </c>
    </row>
    <row r="25" spans="2:5" ht="15" customHeight="1" x14ac:dyDescent="0.25">
      <c r="B25" s="18" t="s">
        <v>180</v>
      </c>
      <c r="C25" s="19" t="s">
        <v>181</v>
      </c>
      <c r="D25" s="48">
        <v>5.1499999999999997E-2</v>
      </c>
      <c r="E25" s="48">
        <v>4.1300000000000003E-2</v>
      </c>
    </row>
    <row r="26" spans="2:5" ht="15" customHeight="1" x14ac:dyDescent="0.25">
      <c r="B26" s="18" t="s">
        <v>182</v>
      </c>
      <c r="C26" s="19" t="s">
        <v>183</v>
      </c>
      <c r="D26" s="48">
        <v>4.9799999999999997E-2</v>
      </c>
      <c r="E26" s="48">
        <v>3.6999999999999998E-2</v>
      </c>
    </row>
    <row r="27" spans="2:5" ht="15" customHeight="1" x14ac:dyDescent="0.25">
      <c r="B27" s="18" t="s">
        <v>184</v>
      </c>
      <c r="C27" s="19" t="s">
        <v>185</v>
      </c>
      <c r="D27" s="48">
        <v>4.6899999999999997E-2</v>
      </c>
      <c r="E27" s="48">
        <v>3.2099999999999997E-2</v>
      </c>
    </row>
    <row r="28" spans="2:5" ht="15" customHeight="1" x14ac:dyDescent="0.25">
      <c r="B28" s="18" t="s">
        <v>186</v>
      </c>
      <c r="C28" s="19" t="s">
        <v>187</v>
      </c>
      <c r="D28" s="48">
        <v>4.9399999999999999E-2</v>
      </c>
      <c r="E28" s="48">
        <v>3.8100000000000002E-2</v>
      </c>
    </row>
    <row r="29" spans="2:5" ht="15" customHeight="1" x14ac:dyDescent="0.25">
      <c r="B29" s="18" t="s">
        <v>188</v>
      </c>
      <c r="C29" s="19" t="s">
        <v>189</v>
      </c>
      <c r="D29" s="48">
        <v>5.33E-2</v>
      </c>
      <c r="E29" s="48">
        <v>3.8800000000000001E-2</v>
      </c>
    </row>
    <row r="30" spans="2:5" ht="15" customHeight="1" x14ac:dyDescent="0.25">
      <c r="B30" s="18" t="s">
        <v>190</v>
      </c>
      <c r="C30" s="19" t="s">
        <v>191</v>
      </c>
      <c r="D30" s="48">
        <v>4.9399999999999999E-2</v>
      </c>
      <c r="E30" s="48">
        <v>2.5899999999999999E-2</v>
      </c>
    </row>
    <row r="31" spans="2:5" ht="15" customHeight="1" x14ac:dyDescent="0.25">
      <c r="B31" s="18" t="s">
        <v>192</v>
      </c>
      <c r="C31" s="19" t="s">
        <v>193</v>
      </c>
      <c r="D31" s="48">
        <v>6.5100000000000005E-2</v>
      </c>
      <c r="E31" s="48">
        <v>5.8900000000000001E-2</v>
      </c>
    </row>
    <row r="32" spans="2:5" ht="15" customHeight="1" x14ac:dyDescent="0.25">
      <c r="B32" s="18" t="s">
        <v>194</v>
      </c>
      <c r="C32" s="19" t="s">
        <v>195</v>
      </c>
      <c r="D32" s="48">
        <v>6.5100000000000005E-2</v>
      </c>
      <c r="E32" s="48">
        <v>4.9500000000000002E-2</v>
      </c>
    </row>
    <row r="33" spans="2:5" ht="15" customHeight="1" x14ac:dyDescent="0.25">
      <c r="B33" s="18" t="s">
        <v>196</v>
      </c>
      <c r="C33" s="19" t="s">
        <v>197</v>
      </c>
      <c r="D33" s="48">
        <v>6.3200000000000006E-2</v>
      </c>
      <c r="E33" s="48">
        <v>3.7400000000000003E-2</v>
      </c>
    </row>
    <row r="34" spans="2:5" ht="15" customHeight="1" x14ac:dyDescent="0.25">
      <c r="B34" s="18" t="s">
        <v>198</v>
      </c>
      <c r="C34" s="19" t="s">
        <v>199</v>
      </c>
      <c r="D34" s="48">
        <v>4.65E-2</v>
      </c>
      <c r="E34" s="48">
        <v>4.0599999999999997E-2</v>
      </c>
    </row>
    <row r="35" spans="2:5" ht="15" customHeight="1" x14ac:dyDescent="0.25">
      <c r="B35" s="18" t="s">
        <v>200</v>
      </c>
      <c r="C35" s="19" t="s">
        <v>201</v>
      </c>
      <c r="D35" s="48">
        <v>4.4200000000000003E-2</v>
      </c>
      <c r="E35" s="48">
        <v>4.4200000000000003E-2</v>
      </c>
    </row>
    <row r="36" spans="2:5" ht="15" customHeight="1" x14ac:dyDescent="0.25">
      <c r="B36" s="18" t="s">
        <v>202</v>
      </c>
      <c r="C36" s="19" t="s">
        <v>203</v>
      </c>
      <c r="D36" s="48">
        <v>4.5600000000000002E-2</v>
      </c>
      <c r="E36" s="48">
        <v>3.4599999999999999E-2</v>
      </c>
    </row>
    <row r="37" spans="2:5" ht="15" customHeight="1" x14ac:dyDescent="0.25">
      <c r="B37" s="18" t="s">
        <v>204</v>
      </c>
      <c r="C37" s="19" t="s">
        <v>205</v>
      </c>
      <c r="D37" s="48">
        <v>4.4200000000000003E-2</v>
      </c>
      <c r="E37" s="48">
        <v>3.4599999999999999E-2</v>
      </c>
    </row>
    <row r="38" spans="2:5" ht="15" customHeight="1" x14ac:dyDescent="0.25">
      <c r="B38" s="18" t="s">
        <v>206</v>
      </c>
      <c r="C38" s="19" t="s">
        <v>207</v>
      </c>
      <c r="D38" s="48">
        <v>4.9399999999999999E-2</v>
      </c>
      <c r="E38" s="48">
        <v>3.1800000000000002E-2</v>
      </c>
    </row>
    <row r="39" spans="2:5" ht="15" customHeight="1" x14ac:dyDescent="0.25">
      <c r="B39" s="18" t="s">
        <v>208</v>
      </c>
      <c r="C39" s="19" t="s">
        <v>209</v>
      </c>
      <c r="D39" s="48">
        <v>4.9399999999999999E-2</v>
      </c>
      <c r="E39" s="48">
        <v>3.1800000000000002E-2</v>
      </c>
    </row>
    <row r="40" spans="2:5" ht="15" customHeight="1" x14ac:dyDescent="0.25">
      <c r="B40" s="18" t="s">
        <v>210</v>
      </c>
      <c r="C40" s="19" t="s">
        <v>211</v>
      </c>
      <c r="D40" s="48">
        <v>4.9399999999999999E-2</v>
      </c>
      <c r="E40" s="48">
        <v>3.1800000000000002E-2</v>
      </c>
    </row>
    <row r="41" spans="2:5" ht="15" customHeight="1" x14ac:dyDescent="0.25">
      <c r="B41" s="18" t="s">
        <v>212</v>
      </c>
      <c r="C41" s="19" t="s">
        <v>213</v>
      </c>
      <c r="D41" s="48">
        <v>7.6499999999999999E-2</v>
      </c>
      <c r="E41" s="48">
        <v>5.6399999999999999E-2</v>
      </c>
    </row>
    <row r="42" spans="2:5" ht="15" customHeight="1" x14ac:dyDescent="0.25">
      <c r="B42" s="18" t="s">
        <v>214</v>
      </c>
      <c r="C42" s="19" t="s">
        <v>215</v>
      </c>
      <c r="D42" s="48">
        <v>7.8600000000000003E-2</v>
      </c>
      <c r="E42" s="48">
        <v>6.2899999999999998E-2</v>
      </c>
    </row>
    <row r="43" spans="2:5" ht="15" customHeight="1" x14ac:dyDescent="0.25">
      <c r="B43" s="18" t="s">
        <v>216</v>
      </c>
      <c r="C43" s="19" t="s">
        <v>217</v>
      </c>
      <c r="D43" s="48">
        <v>7.6499999999999999E-2</v>
      </c>
      <c r="E43" s="48">
        <v>4.2299999999999997E-2</v>
      </c>
    </row>
    <row r="44" spans="2:5" ht="15" customHeight="1" x14ac:dyDescent="0.25">
      <c r="B44" s="18" t="s">
        <v>218</v>
      </c>
      <c r="C44" s="19" t="s">
        <v>219</v>
      </c>
      <c r="D44" s="48">
        <v>4.9000000000000002E-2</v>
      </c>
      <c r="E44" s="48">
        <v>4.0099999999999997E-2</v>
      </c>
    </row>
    <row r="45" spans="2:5" ht="15" customHeight="1" x14ac:dyDescent="0.25">
      <c r="B45" s="18" t="s">
        <v>220</v>
      </c>
      <c r="C45" s="19" t="s">
        <v>221</v>
      </c>
      <c r="D45" s="48">
        <v>5.3600000000000002E-2</v>
      </c>
      <c r="E45" s="48">
        <v>3.6299999999999999E-2</v>
      </c>
    </row>
    <row r="46" spans="2:5" ht="15" customHeight="1" x14ac:dyDescent="0.25">
      <c r="B46" s="18" t="s">
        <v>222</v>
      </c>
      <c r="C46" s="19" t="s">
        <v>223</v>
      </c>
      <c r="D46" s="48">
        <v>5.2400000000000002E-2</v>
      </c>
      <c r="E46" s="48">
        <v>3.7600000000000001E-2</v>
      </c>
    </row>
    <row r="47" spans="2:5" ht="15" customHeight="1" x14ac:dyDescent="0.25">
      <c r="B47" s="18" t="s">
        <v>224</v>
      </c>
      <c r="C47" s="19" t="s">
        <v>225</v>
      </c>
      <c r="D47" s="48">
        <v>4.9000000000000002E-2</v>
      </c>
      <c r="E47" s="48">
        <v>3.2000000000000001E-2</v>
      </c>
    </row>
    <row r="48" spans="2:5" ht="15" customHeight="1" x14ac:dyDescent="0.25">
      <c r="B48" s="18" t="s">
        <v>226</v>
      </c>
      <c r="C48" s="19" t="s">
        <v>227</v>
      </c>
      <c r="D48" s="48">
        <v>4.8399999999999999E-2</v>
      </c>
      <c r="E48" s="48">
        <v>3.8199999999999998E-2</v>
      </c>
    </row>
    <row r="49" spans="2:5" ht="15" customHeight="1" x14ac:dyDescent="0.25">
      <c r="B49" s="18" t="s">
        <v>228</v>
      </c>
      <c r="C49" s="19" t="s">
        <v>229</v>
      </c>
      <c r="D49" s="48">
        <v>5.6500000000000002E-2</v>
      </c>
      <c r="E49" s="48">
        <v>3.4099999999999998E-2</v>
      </c>
    </row>
    <row r="50" spans="2:5" ht="15" customHeight="1" x14ac:dyDescent="0.25">
      <c r="B50" s="18" t="s">
        <v>230</v>
      </c>
      <c r="C50" s="19" t="s">
        <v>231</v>
      </c>
      <c r="D50" s="48">
        <v>4.8399999999999999E-2</v>
      </c>
      <c r="E50" s="48">
        <v>2.92E-2</v>
      </c>
    </row>
    <row r="51" spans="2:5" ht="15" customHeight="1" x14ac:dyDescent="0.25">
      <c r="B51" s="18" t="s">
        <v>232</v>
      </c>
      <c r="C51" s="19" t="s">
        <v>233</v>
      </c>
      <c r="D51" s="48">
        <v>5.6300000000000003E-2</v>
      </c>
      <c r="E51" s="48">
        <v>3.7400000000000003E-2</v>
      </c>
    </row>
    <row r="52" spans="2:5" ht="15" customHeight="1" x14ac:dyDescent="0.25">
      <c r="B52" s="18" t="s">
        <v>234</v>
      </c>
      <c r="C52" s="19" t="s">
        <v>235</v>
      </c>
      <c r="D52" s="48">
        <v>4.4200000000000003E-2</v>
      </c>
      <c r="E52" s="48">
        <v>3.2000000000000001E-2</v>
      </c>
    </row>
    <row r="53" spans="2:5" ht="15" customHeight="1" x14ac:dyDescent="0.25">
      <c r="B53" s="18" t="s">
        <v>236</v>
      </c>
      <c r="C53" s="19" t="s">
        <v>237</v>
      </c>
      <c r="D53" s="48">
        <v>4.7500000000000001E-2</v>
      </c>
      <c r="E53" s="48">
        <v>2.5899999999999999E-2</v>
      </c>
    </row>
  </sheetData>
  <mergeCells count="3">
    <mergeCell ref="B6:B7"/>
    <mergeCell ref="C6:C7"/>
    <mergeCell ref="D6:E6"/>
  </mergeCells>
  <pageMargins left="0.7" right="0.7" top="0.75" bottom="0.75" header="0.3" footer="0.3"/>
  <pageSetup paperSize="9"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pageSetUpPr fitToPage="1"/>
  </sheetPr>
  <dimension ref="B1:H169"/>
  <sheetViews>
    <sheetView showGridLines="0" workbookViewId="0"/>
  </sheetViews>
  <sheetFormatPr defaultRowHeight="15" customHeight="1" x14ac:dyDescent="0.25"/>
  <cols>
    <col min="1" max="1" width="2.7109375" customWidth="1"/>
    <col min="2" max="2" width="14.28515625" customWidth="1"/>
    <col min="3" max="3" width="69.28515625" bestFit="1" customWidth="1"/>
    <col min="4" max="4" width="13.140625" bestFit="1" customWidth="1"/>
    <col min="5" max="5" width="14.85546875" customWidth="1"/>
  </cols>
  <sheetData>
    <row r="1" spans="2:8" ht="20.100000000000001" customHeight="1" x14ac:dyDescent="0.25"/>
    <row r="2" spans="2:8" ht="20.100000000000001" customHeight="1" x14ac:dyDescent="0.3">
      <c r="B2" s="30" t="s">
        <v>47</v>
      </c>
      <c r="C2" s="12"/>
      <c r="D2" s="12"/>
      <c r="E2" s="12"/>
    </row>
    <row r="3" spans="2:8" ht="20.100000000000001" customHeight="1" x14ac:dyDescent="0.25">
      <c r="B3" s="3"/>
      <c r="C3" s="20"/>
      <c r="D3" s="20"/>
      <c r="E3" s="20"/>
    </row>
    <row r="4" spans="2:8" ht="20.100000000000001" customHeight="1" x14ac:dyDescent="0.25">
      <c r="B4" s="4" t="s">
        <v>48</v>
      </c>
      <c r="C4" s="20"/>
      <c r="D4" s="20"/>
      <c r="E4" s="20"/>
    </row>
    <row r="5" spans="2:8" ht="20.100000000000001" customHeight="1" x14ac:dyDescent="0.25">
      <c r="B5" s="5"/>
      <c r="C5" s="20"/>
      <c r="D5" s="20"/>
      <c r="E5" s="20"/>
    </row>
    <row r="6" spans="2:8" ht="36" customHeight="1" x14ac:dyDescent="0.25">
      <c r="B6" s="44" t="s">
        <v>57</v>
      </c>
      <c r="C6" s="44" t="s">
        <v>2</v>
      </c>
      <c r="D6" s="44" t="s">
        <v>21</v>
      </c>
      <c r="E6" s="44" t="s">
        <v>7</v>
      </c>
    </row>
    <row r="7" spans="2:8" ht="15" customHeight="1" x14ac:dyDescent="0.25">
      <c r="B7" s="18">
        <v>10.01</v>
      </c>
      <c r="C7" s="19" t="s">
        <v>2413</v>
      </c>
      <c r="D7" s="21">
        <v>8.6800000000000002E-2</v>
      </c>
      <c r="E7" s="22">
        <v>1</v>
      </c>
      <c r="H7" s="57"/>
    </row>
    <row r="8" spans="2:8" ht="15" customHeight="1" x14ac:dyDescent="0.25">
      <c r="B8" s="18">
        <v>10.02</v>
      </c>
      <c r="C8" s="19" t="s">
        <v>2414</v>
      </c>
      <c r="D8" s="21">
        <v>0.57850000000000001</v>
      </c>
      <c r="E8" s="22">
        <v>1</v>
      </c>
      <c r="H8" s="57"/>
    </row>
    <row r="9" spans="2:8" ht="15" customHeight="1" x14ac:dyDescent="0.25">
      <c r="B9" s="18">
        <v>10.029999999999999</v>
      </c>
      <c r="C9" s="19" t="s">
        <v>2415</v>
      </c>
      <c r="D9" s="21">
        <v>7.6899999999999996E-2</v>
      </c>
      <c r="E9" s="22">
        <v>0.8</v>
      </c>
      <c r="H9" s="57"/>
    </row>
    <row r="10" spans="2:8" ht="15" customHeight="1" x14ac:dyDescent="0.25">
      <c r="B10" s="18">
        <v>10.039999999999999</v>
      </c>
      <c r="C10" s="19" t="s">
        <v>2416</v>
      </c>
      <c r="D10" s="21">
        <v>6.4699999999999994E-2</v>
      </c>
      <c r="E10" s="22">
        <v>0.8</v>
      </c>
      <c r="H10" s="57"/>
    </row>
    <row r="11" spans="2:8" ht="15" customHeight="1" x14ac:dyDescent="0.25">
      <c r="B11" s="18">
        <v>10.050000000000001</v>
      </c>
      <c r="C11" s="19" t="s">
        <v>2417</v>
      </c>
      <c r="D11" s="21">
        <v>0.32769999999999999</v>
      </c>
      <c r="E11" s="22">
        <v>1</v>
      </c>
      <c r="H11" s="57"/>
    </row>
    <row r="12" spans="2:8" ht="15" customHeight="1" x14ac:dyDescent="0.25">
      <c r="B12" s="18">
        <v>10.06</v>
      </c>
      <c r="C12" s="19" t="s">
        <v>2418</v>
      </c>
      <c r="D12" s="21">
        <v>0.41870000000000002</v>
      </c>
      <c r="E12" s="22">
        <v>1</v>
      </c>
      <c r="H12" s="57"/>
    </row>
    <row r="13" spans="2:8" ht="15" customHeight="1" x14ac:dyDescent="0.25">
      <c r="B13" s="18">
        <v>10.07</v>
      </c>
      <c r="C13" s="19" t="s">
        <v>2419</v>
      </c>
      <c r="D13" s="21">
        <v>6.3899999999999998E-2</v>
      </c>
      <c r="E13" s="22">
        <v>1</v>
      </c>
      <c r="H13" s="57"/>
    </row>
    <row r="14" spans="2:8" ht="15" customHeight="1" x14ac:dyDescent="0.25">
      <c r="B14" s="18">
        <v>10.08</v>
      </c>
      <c r="C14" s="19" t="s">
        <v>2420</v>
      </c>
      <c r="D14" s="21">
        <v>4.2700000000000002E-2</v>
      </c>
      <c r="E14" s="22">
        <v>1</v>
      </c>
      <c r="H14" s="57"/>
    </row>
    <row r="15" spans="2:8" ht="15" customHeight="1" x14ac:dyDescent="0.25">
      <c r="B15" s="18">
        <v>10.09</v>
      </c>
      <c r="C15" s="19" t="s">
        <v>2421</v>
      </c>
      <c r="D15" s="21">
        <v>0.22259999999999999</v>
      </c>
      <c r="E15" s="22">
        <v>0.8</v>
      </c>
      <c r="H15" s="57"/>
    </row>
    <row r="16" spans="2:8" ht="15" customHeight="1" x14ac:dyDescent="0.25">
      <c r="B16" s="18">
        <v>10.1</v>
      </c>
      <c r="C16" s="19" t="s">
        <v>2422</v>
      </c>
      <c r="D16" s="21">
        <v>5.0500000000000003E-2</v>
      </c>
      <c r="E16" s="22">
        <v>1</v>
      </c>
      <c r="H16" s="57"/>
    </row>
    <row r="17" spans="2:8" ht="15" customHeight="1" x14ac:dyDescent="0.25">
      <c r="B17" s="18">
        <v>10.11</v>
      </c>
      <c r="C17" s="19" t="s">
        <v>2423</v>
      </c>
      <c r="D17" s="21">
        <v>6.8000000000000005E-2</v>
      </c>
      <c r="E17" s="22">
        <v>1</v>
      </c>
      <c r="H17" s="57"/>
    </row>
    <row r="18" spans="2:8" ht="15" customHeight="1" x14ac:dyDescent="0.25">
      <c r="B18" s="18">
        <v>10.119999999999999</v>
      </c>
      <c r="C18" s="19" t="s">
        <v>2424</v>
      </c>
      <c r="D18" s="21">
        <v>5.9799999999999999E-2</v>
      </c>
      <c r="E18" s="22">
        <v>1</v>
      </c>
      <c r="H18" s="57"/>
    </row>
    <row r="19" spans="2:8" ht="15" customHeight="1" x14ac:dyDescent="0.25">
      <c r="B19" s="18">
        <v>10.130000000000001</v>
      </c>
      <c r="C19" s="19" t="s">
        <v>2425</v>
      </c>
      <c r="D19" s="21">
        <v>0.105</v>
      </c>
      <c r="E19" s="22">
        <v>1.0900000000000001</v>
      </c>
      <c r="H19" s="57"/>
    </row>
    <row r="20" spans="2:8" ht="15" customHeight="1" x14ac:dyDescent="0.25">
      <c r="B20" s="18">
        <v>10.14</v>
      </c>
      <c r="C20" s="19" t="s">
        <v>2426</v>
      </c>
      <c r="D20" s="21">
        <v>0.12820000000000001</v>
      </c>
      <c r="E20" s="22">
        <v>1</v>
      </c>
      <c r="H20" s="57"/>
    </row>
    <row r="21" spans="2:8" ht="15" customHeight="1" x14ac:dyDescent="0.25">
      <c r="B21" s="23" t="s">
        <v>2562</v>
      </c>
      <c r="C21" s="19" t="s">
        <v>2427</v>
      </c>
      <c r="D21" s="21">
        <v>0.32750000000000001</v>
      </c>
      <c r="E21" s="22">
        <v>1</v>
      </c>
      <c r="H21" s="57"/>
    </row>
    <row r="22" spans="2:8" ht="15" customHeight="1" x14ac:dyDescent="0.25">
      <c r="B22" s="23" t="s">
        <v>2563</v>
      </c>
      <c r="C22" s="19" t="s">
        <v>2428</v>
      </c>
      <c r="D22" s="21">
        <v>0.44230000000000003</v>
      </c>
      <c r="E22" s="22">
        <v>1</v>
      </c>
      <c r="H22" s="57"/>
    </row>
    <row r="23" spans="2:8" ht="15" customHeight="1" x14ac:dyDescent="0.25">
      <c r="B23" s="23" t="s">
        <v>2564</v>
      </c>
      <c r="C23" s="19" t="s">
        <v>2429</v>
      </c>
      <c r="D23" s="21">
        <v>1.2758</v>
      </c>
      <c r="E23" s="22">
        <v>1.3</v>
      </c>
      <c r="H23" s="57"/>
    </row>
    <row r="24" spans="2:8" ht="15" customHeight="1" x14ac:dyDescent="0.25">
      <c r="B24" s="23" t="s">
        <v>2565</v>
      </c>
      <c r="C24" s="19" t="s">
        <v>2430</v>
      </c>
      <c r="D24" s="21">
        <v>6.4600000000000005E-2</v>
      </c>
      <c r="E24" s="22">
        <v>1</v>
      </c>
      <c r="H24" s="57"/>
    </row>
    <row r="25" spans="2:8" ht="15" customHeight="1" x14ac:dyDescent="0.25">
      <c r="B25" s="18">
        <v>10.19</v>
      </c>
      <c r="C25" s="19" t="s">
        <v>2431</v>
      </c>
      <c r="D25" s="21" t="s">
        <v>2432</v>
      </c>
      <c r="E25" s="22" t="s">
        <v>2433</v>
      </c>
    </row>
    <row r="26" spans="2:8" ht="15" customHeight="1" x14ac:dyDescent="0.25">
      <c r="B26" s="18">
        <v>10.199999999999999</v>
      </c>
      <c r="C26" s="19" t="s">
        <v>2434</v>
      </c>
      <c r="D26" s="21">
        <v>0.1065</v>
      </c>
      <c r="E26" s="22">
        <v>1</v>
      </c>
      <c r="H26" s="57"/>
    </row>
    <row r="27" spans="2:8" ht="15" customHeight="1" x14ac:dyDescent="0.25">
      <c r="B27" s="23" t="s">
        <v>2561</v>
      </c>
      <c r="C27" s="19" t="s">
        <v>2435</v>
      </c>
      <c r="D27" s="21" t="s">
        <v>2436</v>
      </c>
      <c r="E27" s="22" t="s">
        <v>2433</v>
      </c>
    </row>
    <row r="28" spans="2:8" ht="15" customHeight="1" x14ac:dyDescent="0.25">
      <c r="B28" s="18">
        <v>10.220000000000001</v>
      </c>
      <c r="C28" s="19" t="s">
        <v>2437</v>
      </c>
      <c r="D28" s="21">
        <v>7.0699999999999999E-2</v>
      </c>
      <c r="E28" s="22">
        <v>1</v>
      </c>
      <c r="H28" s="57"/>
    </row>
    <row r="29" spans="2:8" ht="15" customHeight="1" x14ac:dyDescent="0.25">
      <c r="B29" s="18">
        <v>20.010000000000002</v>
      </c>
      <c r="C29" s="19" t="s">
        <v>2438</v>
      </c>
      <c r="D29" s="21">
        <v>6.6699999999999995E-2</v>
      </c>
      <c r="E29" s="22">
        <v>1.83</v>
      </c>
      <c r="H29" s="57"/>
    </row>
    <row r="30" spans="2:8" ht="15" customHeight="1" x14ac:dyDescent="0.25">
      <c r="B30" s="18">
        <v>20.02</v>
      </c>
      <c r="C30" s="19" t="s">
        <v>2439</v>
      </c>
      <c r="D30" s="21">
        <v>6.9800000000000001E-2</v>
      </c>
      <c r="E30" s="22">
        <v>0.8</v>
      </c>
      <c r="H30" s="57"/>
    </row>
    <row r="31" spans="2:8" ht="15" customHeight="1" x14ac:dyDescent="0.25">
      <c r="B31" s="18">
        <v>20.03</v>
      </c>
      <c r="C31" s="19" t="s">
        <v>2440</v>
      </c>
      <c r="D31" s="21">
        <v>8.6499999999999994E-2</v>
      </c>
      <c r="E31" s="22">
        <v>0.95</v>
      </c>
      <c r="H31" s="57"/>
    </row>
    <row r="32" spans="2:8" ht="15" customHeight="1" x14ac:dyDescent="0.25">
      <c r="B32" s="18">
        <v>20.04</v>
      </c>
      <c r="C32" s="19" t="s">
        <v>2441</v>
      </c>
      <c r="D32" s="21">
        <v>0.1043</v>
      </c>
      <c r="E32" s="22">
        <v>1</v>
      </c>
      <c r="H32" s="57"/>
    </row>
    <row r="33" spans="2:8" ht="15" customHeight="1" x14ac:dyDescent="0.25">
      <c r="B33" s="18">
        <v>20.05</v>
      </c>
      <c r="C33" s="19" t="s">
        <v>2442</v>
      </c>
      <c r="D33" s="21">
        <v>5.5800000000000002E-2</v>
      </c>
      <c r="E33" s="22">
        <v>0.8</v>
      </c>
      <c r="H33" s="57"/>
    </row>
    <row r="34" spans="2:8" ht="15" customHeight="1" x14ac:dyDescent="0.25">
      <c r="B34" s="18">
        <v>20.059999999999999</v>
      </c>
      <c r="C34" s="19" t="s">
        <v>2443</v>
      </c>
      <c r="D34" s="21" t="s">
        <v>2444</v>
      </c>
      <c r="E34" s="22" t="s">
        <v>2433</v>
      </c>
    </row>
    <row r="35" spans="2:8" ht="15" customHeight="1" x14ac:dyDescent="0.25">
      <c r="B35" s="18">
        <v>20.07</v>
      </c>
      <c r="C35" s="19" t="s">
        <v>2445</v>
      </c>
      <c r="D35" s="21">
        <v>4.5699999999999998E-2</v>
      </c>
      <c r="E35" s="22">
        <v>0.8</v>
      </c>
      <c r="H35" s="57"/>
    </row>
    <row r="36" spans="2:8" ht="15" customHeight="1" x14ac:dyDescent="0.25">
      <c r="B36" s="18">
        <v>20.079999999999998</v>
      </c>
      <c r="C36" s="19" t="s">
        <v>2446</v>
      </c>
      <c r="D36" s="21">
        <v>0.15129999999999999</v>
      </c>
      <c r="E36" s="22">
        <v>1.05</v>
      </c>
      <c r="H36" s="57"/>
    </row>
    <row r="37" spans="2:8" ht="15" customHeight="1" x14ac:dyDescent="0.25">
      <c r="B37" s="18">
        <v>20.09</v>
      </c>
      <c r="C37" s="19" t="s">
        <v>2447</v>
      </c>
      <c r="D37" s="21">
        <v>7.9600000000000004E-2</v>
      </c>
      <c r="E37" s="22">
        <v>1</v>
      </c>
      <c r="H37" s="57"/>
    </row>
    <row r="38" spans="2:8" ht="15" customHeight="1" x14ac:dyDescent="0.25">
      <c r="B38" s="18">
        <v>20.100000000000001</v>
      </c>
      <c r="C38" s="19" t="s">
        <v>2448</v>
      </c>
      <c r="D38" s="21">
        <v>6.9099999999999995E-2</v>
      </c>
      <c r="E38" s="22">
        <v>0.82</v>
      </c>
      <c r="H38" s="57"/>
    </row>
    <row r="39" spans="2:8" ht="15" customHeight="1" x14ac:dyDescent="0.25">
      <c r="B39" s="18">
        <v>20.11</v>
      </c>
      <c r="C39" s="19" t="s">
        <v>2449</v>
      </c>
      <c r="D39" s="21">
        <v>7.3999999999999996E-2</v>
      </c>
      <c r="E39" s="22">
        <v>0.95</v>
      </c>
      <c r="H39" s="57"/>
    </row>
    <row r="40" spans="2:8" ht="15" customHeight="1" x14ac:dyDescent="0.25">
      <c r="B40" s="18">
        <v>20.12</v>
      </c>
      <c r="C40" s="19" t="s">
        <v>2450</v>
      </c>
      <c r="D40" s="21">
        <v>4.9500000000000002E-2</v>
      </c>
      <c r="E40" s="22">
        <v>1</v>
      </c>
      <c r="H40" s="57"/>
    </row>
    <row r="41" spans="2:8" ht="15" customHeight="1" x14ac:dyDescent="0.25">
      <c r="B41" s="18">
        <v>20.13</v>
      </c>
      <c r="C41" s="19" t="s">
        <v>2451</v>
      </c>
      <c r="D41" s="21">
        <v>6.8400000000000002E-2</v>
      </c>
      <c r="E41" s="22">
        <v>1.64</v>
      </c>
      <c r="H41" s="57"/>
    </row>
    <row r="42" spans="2:8" ht="15" customHeight="1" x14ac:dyDescent="0.25">
      <c r="B42" s="18">
        <v>20.14</v>
      </c>
      <c r="C42" s="19" t="s">
        <v>2452</v>
      </c>
      <c r="D42" s="21">
        <v>4.99E-2</v>
      </c>
      <c r="E42" s="22">
        <v>1.43</v>
      </c>
      <c r="H42" s="57"/>
    </row>
    <row r="43" spans="2:8" ht="15" customHeight="1" x14ac:dyDescent="0.25">
      <c r="B43" s="18">
        <v>20.149999999999999</v>
      </c>
      <c r="C43" s="19" t="s">
        <v>2453</v>
      </c>
      <c r="D43" s="21">
        <v>5.67E-2</v>
      </c>
      <c r="E43" s="22">
        <v>1.26</v>
      </c>
      <c r="H43" s="57"/>
    </row>
    <row r="44" spans="2:8" ht="15" customHeight="1" x14ac:dyDescent="0.25">
      <c r="B44" s="18">
        <v>20.16</v>
      </c>
      <c r="C44" s="19" t="s">
        <v>2454</v>
      </c>
      <c r="D44" s="21">
        <v>5.5199999999999999E-2</v>
      </c>
      <c r="E44" s="22">
        <v>1.29</v>
      </c>
      <c r="H44" s="57"/>
    </row>
    <row r="45" spans="2:8" ht="15" customHeight="1" x14ac:dyDescent="0.25">
      <c r="B45" s="18">
        <v>20.170000000000002</v>
      </c>
      <c r="C45" s="19" t="s">
        <v>2455</v>
      </c>
      <c r="D45" s="21">
        <v>4.5400000000000003E-2</v>
      </c>
      <c r="E45" s="22">
        <v>1</v>
      </c>
      <c r="H45" s="57"/>
    </row>
    <row r="46" spans="2:8" ht="15" customHeight="1" x14ac:dyDescent="0.25">
      <c r="B46" s="18">
        <v>20.18</v>
      </c>
      <c r="C46" s="19" t="s">
        <v>2456</v>
      </c>
      <c r="D46" s="21">
        <v>4.8399999999999999E-2</v>
      </c>
      <c r="E46" s="22">
        <v>0.9</v>
      </c>
      <c r="H46" s="57"/>
    </row>
    <row r="47" spans="2:8" ht="15" customHeight="1" x14ac:dyDescent="0.25">
      <c r="B47" s="18">
        <v>20.190000000000001</v>
      </c>
      <c r="C47" s="19" t="s">
        <v>2457</v>
      </c>
      <c r="D47" s="21">
        <v>6.7000000000000004E-2</v>
      </c>
      <c r="E47" s="22">
        <v>1.59</v>
      </c>
      <c r="H47" s="57"/>
    </row>
    <row r="48" spans="2:8" ht="15" customHeight="1" x14ac:dyDescent="0.25">
      <c r="B48" s="18">
        <v>20.2</v>
      </c>
      <c r="C48" s="19" t="s">
        <v>2458</v>
      </c>
      <c r="D48" s="21">
        <v>0.14080000000000001</v>
      </c>
      <c r="E48" s="22">
        <v>1</v>
      </c>
      <c r="H48" s="57"/>
    </row>
    <row r="49" spans="2:8" ht="15" customHeight="1" x14ac:dyDescent="0.25">
      <c r="B49" s="18">
        <v>20.21</v>
      </c>
      <c r="C49" s="19" t="s">
        <v>2459</v>
      </c>
      <c r="D49" s="21">
        <v>3.4799999999999998E-2</v>
      </c>
      <c r="E49" s="22">
        <v>1</v>
      </c>
      <c r="H49" s="57"/>
    </row>
    <row r="50" spans="2:8" ht="15" customHeight="1" x14ac:dyDescent="0.25">
      <c r="B50" s="18">
        <v>20.22</v>
      </c>
      <c r="C50" s="19" t="s">
        <v>2460</v>
      </c>
      <c r="D50" s="21">
        <v>5.7500000000000002E-2</v>
      </c>
      <c r="E50" s="22">
        <v>1.23</v>
      </c>
      <c r="H50" s="57"/>
    </row>
    <row r="51" spans="2:8" ht="15" customHeight="1" x14ac:dyDescent="0.25">
      <c r="B51" s="18">
        <v>20.23</v>
      </c>
      <c r="C51" s="19" t="s">
        <v>2461</v>
      </c>
      <c r="D51" s="21">
        <v>7.4399999999999994E-2</v>
      </c>
      <c r="E51" s="22">
        <v>1.43</v>
      </c>
      <c r="H51" s="57"/>
    </row>
    <row r="52" spans="2:8" ht="15" customHeight="1" x14ac:dyDescent="0.25">
      <c r="B52" s="18">
        <v>20.239999999999998</v>
      </c>
      <c r="C52" s="19" t="s">
        <v>2462</v>
      </c>
      <c r="D52" s="21">
        <v>5.8500000000000003E-2</v>
      </c>
      <c r="E52" s="22">
        <v>1.1499999999999999</v>
      </c>
      <c r="H52" s="57"/>
    </row>
    <row r="53" spans="2:8" ht="15" customHeight="1" x14ac:dyDescent="0.25">
      <c r="B53" s="18">
        <v>20.25</v>
      </c>
      <c r="C53" s="19" t="s">
        <v>2463</v>
      </c>
      <c r="D53" s="21">
        <v>4.9599999999999998E-2</v>
      </c>
      <c r="E53" s="22">
        <v>1.47</v>
      </c>
      <c r="H53" s="57"/>
    </row>
    <row r="54" spans="2:8" ht="15" customHeight="1" x14ac:dyDescent="0.25">
      <c r="B54" s="18">
        <v>20.260000000000002</v>
      </c>
      <c r="C54" s="19" t="s">
        <v>2464</v>
      </c>
      <c r="D54" s="21">
        <v>6.1899999999999997E-2</v>
      </c>
      <c r="E54" s="22">
        <v>2</v>
      </c>
      <c r="H54" s="57"/>
    </row>
    <row r="55" spans="2:8" ht="15" customHeight="1" x14ac:dyDescent="0.25">
      <c r="B55" s="18">
        <v>20.27</v>
      </c>
      <c r="C55" s="19" t="s">
        <v>2465</v>
      </c>
      <c r="D55" s="21">
        <v>4.5100000000000001E-2</v>
      </c>
      <c r="E55" s="22">
        <v>1.08</v>
      </c>
      <c r="H55" s="57"/>
    </row>
    <row r="56" spans="2:8" ht="15" customHeight="1" x14ac:dyDescent="0.25">
      <c r="B56" s="18">
        <v>20.28</v>
      </c>
      <c r="C56" s="19" t="s">
        <v>2466</v>
      </c>
      <c r="D56" s="21">
        <v>5.5500000000000001E-2</v>
      </c>
      <c r="E56" s="22">
        <v>2</v>
      </c>
      <c r="H56" s="57"/>
    </row>
    <row r="57" spans="2:8" ht="15" customHeight="1" x14ac:dyDescent="0.25">
      <c r="B57" s="18">
        <v>20.29</v>
      </c>
      <c r="C57" s="19" t="s">
        <v>2467</v>
      </c>
      <c r="D57" s="21">
        <v>4.4200000000000003E-2</v>
      </c>
      <c r="E57" s="22">
        <v>1.07</v>
      </c>
      <c r="H57" s="57"/>
    </row>
    <row r="58" spans="2:8" ht="15" customHeight="1" x14ac:dyDescent="0.25">
      <c r="B58" s="18">
        <v>20.3</v>
      </c>
      <c r="C58" s="19" t="s">
        <v>2468</v>
      </c>
      <c r="D58" s="21">
        <v>5.6300000000000003E-2</v>
      </c>
      <c r="E58" s="22">
        <v>1.1200000000000001</v>
      </c>
      <c r="H58" s="57"/>
    </row>
    <row r="59" spans="2:8" ht="15" customHeight="1" x14ac:dyDescent="0.25">
      <c r="B59" s="18">
        <v>20.309999999999999</v>
      </c>
      <c r="C59" s="19" t="s">
        <v>2469</v>
      </c>
      <c r="D59" s="21">
        <v>6.4399999999999999E-2</v>
      </c>
      <c r="E59" s="22">
        <v>1.45</v>
      </c>
      <c r="H59" s="57"/>
    </row>
    <row r="60" spans="2:8" ht="15" customHeight="1" x14ac:dyDescent="0.25">
      <c r="B60" s="18">
        <v>20.32</v>
      </c>
      <c r="C60" s="19" t="s">
        <v>2470</v>
      </c>
      <c r="D60" s="21">
        <v>6.4899999999999999E-2</v>
      </c>
      <c r="E60" s="22">
        <v>0.8</v>
      </c>
      <c r="H60" s="57"/>
    </row>
    <row r="61" spans="2:8" ht="15" customHeight="1" x14ac:dyDescent="0.25">
      <c r="B61" s="18">
        <v>20.329999999999998</v>
      </c>
      <c r="C61" s="19" t="s">
        <v>2471</v>
      </c>
      <c r="D61" s="21">
        <v>4.9599999999999998E-2</v>
      </c>
      <c r="E61" s="22">
        <v>1</v>
      </c>
      <c r="H61" s="57"/>
    </row>
    <row r="62" spans="2:8" ht="15" customHeight="1" x14ac:dyDescent="0.25">
      <c r="B62" s="18">
        <v>20.34</v>
      </c>
      <c r="C62" s="19" t="s">
        <v>2472</v>
      </c>
      <c r="D62" s="21">
        <v>5.1400000000000001E-2</v>
      </c>
      <c r="E62" s="22">
        <v>1.32</v>
      </c>
      <c r="H62" s="57"/>
    </row>
    <row r="63" spans="2:8" ht="15" customHeight="1" x14ac:dyDescent="0.25">
      <c r="B63" s="18">
        <v>20.350000000000001</v>
      </c>
      <c r="C63" s="19" t="s">
        <v>2473</v>
      </c>
      <c r="D63" s="21">
        <v>5.9299999999999999E-2</v>
      </c>
      <c r="E63" s="22">
        <v>1.18</v>
      </c>
      <c r="H63" s="57"/>
    </row>
    <row r="64" spans="2:8" ht="15" customHeight="1" x14ac:dyDescent="0.25">
      <c r="B64" s="18">
        <v>20.36</v>
      </c>
      <c r="C64" s="19" t="s">
        <v>2474</v>
      </c>
      <c r="D64" s="21">
        <v>4.9099999999999998E-2</v>
      </c>
      <c r="E64" s="22">
        <v>0.91</v>
      </c>
      <c r="H64" s="57"/>
    </row>
    <row r="65" spans="2:8" ht="15" customHeight="1" x14ac:dyDescent="0.25">
      <c r="B65" s="18">
        <v>20.37</v>
      </c>
      <c r="C65" s="19" t="s">
        <v>2475</v>
      </c>
      <c r="D65" s="21">
        <v>7.6399999999999996E-2</v>
      </c>
      <c r="E65" s="22">
        <v>1.0900000000000001</v>
      </c>
      <c r="H65" s="57"/>
    </row>
    <row r="66" spans="2:8" ht="15" customHeight="1" x14ac:dyDescent="0.25">
      <c r="B66" s="18">
        <v>20.38</v>
      </c>
      <c r="C66" s="19" t="s">
        <v>2476</v>
      </c>
      <c r="D66" s="21">
        <v>4.9799999999999997E-2</v>
      </c>
      <c r="E66" s="22">
        <v>1.3</v>
      </c>
      <c r="H66" s="57"/>
    </row>
    <row r="67" spans="2:8" ht="15" customHeight="1" x14ac:dyDescent="0.25">
      <c r="B67" s="18">
        <v>20.39</v>
      </c>
      <c r="C67" s="19" t="s">
        <v>2477</v>
      </c>
      <c r="D67" s="21">
        <v>6.6600000000000006E-2</v>
      </c>
      <c r="E67" s="22">
        <v>1</v>
      </c>
      <c r="H67" s="57"/>
    </row>
    <row r="68" spans="2:8" ht="15" customHeight="1" x14ac:dyDescent="0.25">
      <c r="B68" s="18">
        <v>20.399999999999999</v>
      </c>
      <c r="C68" s="19" t="s">
        <v>2478</v>
      </c>
      <c r="D68" s="21">
        <v>4.9799999999999997E-2</v>
      </c>
      <c r="E68" s="22">
        <v>1.1499999999999999</v>
      </c>
      <c r="H68" s="57"/>
    </row>
    <row r="69" spans="2:8" ht="15" customHeight="1" x14ac:dyDescent="0.25">
      <c r="B69" s="18">
        <v>20.41</v>
      </c>
      <c r="C69" s="19" t="s">
        <v>2479</v>
      </c>
      <c r="D69" s="21">
        <v>7.0800000000000002E-2</v>
      </c>
      <c r="E69" s="22">
        <v>0.8</v>
      </c>
      <c r="H69" s="57"/>
    </row>
    <row r="70" spans="2:8" ht="15" customHeight="1" x14ac:dyDescent="0.25">
      <c r="B70" s="18">
        <v>20.420000000000002</v>
      </c>
      <c r="C70" s="19" t="s">
        <v>2480</v>
      </c>
      <c r="D70" s="21">
        <v>6.5799999999999997E-2</v>
      </c>
      <c r="E70" s="22">
        <v>1.1299999999999999</v>
      </c>
      <c r="H70" s="57"/>
    </row>
    <row r="71" spans="2:8" ht="15" customHeight="1" x14ac:dyDescent="0.25">
      <c r="B71" s="18">
        <v>20.43</v>
      </c>
      <c r="C71" s="19" t="s">
        <v>2481</v>
      </c>
      <c r="D71" s="21">
        <v>5.4600000000000003E-2</v>
      </c>
      <c r="E71" s="22">
        <v>1</v>
      </c>
      <c r="H71" s="57"/>
    </row>
    <row r="72" spans="2:8" ht="15" customHeight="1" x14ac:dyDescent="0.25">
      <c r="B72" s="18">
        <v>20.440000000000001</v>
      </c>
      <c r="C72" s="19" t="s">
        <v>2482</v>
      </c>
      <c r="D72" s="21">
        <v>7.3300000000000004E-2</v>
      </c>
      <c r="E72" s="22">
        <v>0.8</v>
      </c>
      <c r="H72" s="57"/>
    </row>
    <row r="73" spans="2:8" ht="15" customHeight="1" x14ac:dyDescent="0.25">
      <c r="B73" s="18">
        <v>20.45</v>
      </c>
      <c r="C73" s="19" t="s">
        <v>2483</v>
      </c>
      <c r="D73" s="21">
        <v>6.2399999999999997E-2</v>
      </c>
      <c r="E73" s="22">
        <v>0.88</v>
      </c>
      <c r="H73" s="57"/>
    </row>
    <row r="74" spans="2:8" ht="15" customHeight="1" x14ac:dyDescent="0.25">
      <c r="B74" s="18">
        <v>20.46</v>
      </c>
      <c r="C74" s="19" t="s">
        <v>2484</v>
      </c>
      <c r="D74" s="21">
        <v>4.0399999999999998E-2</v>
      </c>
      <c r="E74" s="22">
        <v>1.06</v>
      </c>
      <c r="H74" s="57"/>
    </row>
    <row r="75" spans="2:8" ht="15" customHeight="1" x14ac:dyDescent="0.25">
      <c r="B75" s="18">
        <v>20.47</v>
      </c>
      <c r="C75" s="19" t="s">
        <v>2226</v>
      </c>
      <c r="D75" s="21">
        <v>8.2299999999999998E-2</v>
      </c>
      <c r="E75" s="22">
        <v>1.43</v>
      </c>
      <c r="H75" s="57"/>
    </row>
    <row r="76" spans="2:8" ht="15" customHeight="1" x14ac:dyDescent="0.25">
      <c r="B76" s="18">
        <v>20.48</v>
      </c>
      <c r="C76" s="19" t="s">
        <v>2485</v>
      </c>
      <c r="D76" s="21">
        <v>5.4199999999999998E-2</v>
      </c>
      <c r="E76" s="22">
        <v>1</v>
      </c>
      <c r="H76" s="57"/>
    </row>
    <row r="77" spans="2:8" ht="15" customHeight="1" x14ac:dyDescent="0.25">
      <c r="B77" s="18">
        <v>20.49</v>
      </c>
      <c r="C77" s="19" t="s">
        <v>2486</v>
      </c>
      <c r="D77" s="21">
        <v>7.4700000000000003E-2</v>
      </c>
      <c r="E77" s="22">
        <v>1</v>
      </c>
      <c r="H77" s="57"/>
    </row>
    <row r="78" spans="2:8" ht="15" customHeight="1" x14ac:dyDescent="0.25">
      <c r="B78" s="18">
        <v>20.5</v>
      </c>
      <c r="C78" s="19" t="s">
        <v>2487</v>
      </c>
      <c r="D78" s="21">
        <v>5.2600000000000001E-2</v>
      </c>
      <c r="E78" s="22">
        <v>1</v>
      </c>
      <c r="H78" s="57"/>
    </row>
    <row r="79" spans="2:8" ht="15" customHeight="1" x14ac:dyDescent="0.25">
      <c r="B79" s="18">
        <v>20.51</v>
      </c>
      <c r="C79" s="19" t="s">
        <v>2488</v>
      </c>
      <c r="D79" s="21">
        <v>7.4800000000000005E-2</v>
      </c>
      <c r="E79" s="22">
        <v>1</v>
      </c>
      <c r="H79" s="57"/>
    </row>
    <row r="80" spans="2:8" ht="15" customHeight="1" x14ac:dyDescent="0.25">
      <c r="B80" s="18">
        <v>20.52</v>
      </c>
      <c r="C80" s="19" t="s">
        <v>2489</v>
      </c>
      <c r="D80" s="21">
        <v>4.0800000000000003E-2</v>
      </c>
      <c r="E80" s="22">
        <v>2</v>
      </c>
      <c r="H80" s="57"/>
    </row>
    <row r="81" spans="2:8" ht="15" customHeight="1" x14ac:dyDescent="0.25">
      <c r="B81" s="18">
        <v>20.53</v>
      </c>
      <c r="C81" s="19" t="s">
        <v>2490</v>
      </c>
      <c r="D81" s="21">
        <v>5.0900000000000001E-2</v>
      </c>
      <c r="E81" s="22">
        <v>0.85</v>
      </c>
      <c r="H81" s="57"/>
    </row>
    <row r="82" spans="2:8" ht="15" customHeight="1" x14ac:dyDescent="0.25">
      <c r="B82" s="18">
        <v>20.54</v>
      </c>
      <c r="C82" s="19" t="s">
        <v>2491</v>
      </c>
      <c r="D82" s="21">
        <v>6.6699999999999995E-2</v>
      </c>
      <c r="E82" s="22">
        <v>1</v>
      </c>
      <c r="H82" s="57"/>
    </row>
    <row r="83" spans="2:8" ht="15" customHeight="1" x14ac:dyDescent="0.25">
      <c r="B83" s="18">
        <v>20.55</v>
      </c>
      <c r="C83" s="19" t="s">
        <v>2492</v>
      </c>
      <c r="D83" s="21">
        <v>6.2399999999999997E-2</v>
      </c>
      <c r="E83" s="22">
        <v>1.3</v>
      </c>
      <c r="H83" s="57"/>
    </row>
    <row r="84" spans="2:8" ht="15" customHeight="1" x14ac:dyDescent="0.25">
      <c r="B84" s="18">
        <v>20.56</v>
      </c>
      <c r="C84" s="19" t="s">
        <v>2493</v>
      </c>
      <c r="D84" s="21">
        <v>7.1300000000000002E-2</v>
      </c>
      <c r="E84" s="22">
        <v>1.72</v>
      </c>
      <c r="H84" s="57"/>
    </row>
    <row r="85" spans="2:8" ht="15" customHeight="1" x14ac:dyDescent="0.25">
      <c r="B85" s="23">
        <v>20.57</v>
      </c>
      <c r="C85" s="19" t="s">
        <v>2494</v>
      </c>
      <c r="D85" s="21">
        <v>5.0500000000000003E-2</v>
      </c>
      <c r="E85" s="22">
        <v>0.8</v>
      </c>
      <c r="H85" s="57"/>
    </row>
    <row r="86" spans="2:8" ht="15" customHeight="1" x14ac:dyDescent="0.25">
      <c r="B86" s="23" t="s">
        <v>2551</v>
      </c>
      <c r="C86" s="19" t="s">
        <v>2495</v>
      </c>
      <c r="D86" s="21">
        <v>5.5800000000000002E-2</v>
      </c>
      <c r="E86" s="22">
        <v>0.8</v>
      </c>
      <c r="H86" s="57"/>
    </row>
    <row r="87" spans="2:8" ht="15" customHeight="1" x14ac:dyDescent="0.25">
      <c r="B87" s="23" t="s">
        <v>2552</v>
      </c>
      <c r="C87" s="19" t="s">
        <v>2496</v>
      </c>
      <c r="D87" s="21" t="s">
        <v>2436</v>
      </c>
      <c r="E87" s="22" t="s">
        <v>2433</v>
      </c>
    </row>
    <row r="88" spans="2:8" ht="15" customHeight="1" x14ac:dyDescent="0.25">
      <c r="B88" s="23" t="s">
        <v>2553</v>
      </c>
      <c r="C88" s="19" t="s">
        <v>2497</v>
      </c>
      <c r="D88" s="21" t="s">
        <v>2436</v>
      </c>
      <c r="E88" s="22" t="s">
        <v>2433</v>
      </c>
    </row>
    <row r="89" spans="2:8" ht="15" customHeight="1" x14ac:dyDescent="0.25">
      <c r="B89" s="23" t="s">
        <v>2554</v>
      </c>
      <c r="C89" s="19" t="s">
        <v>2498</v>
      </c>
      <c r="D89" s="21" t="s">
        <v>2436</v>
      </c>
      <c r="E89" s="22" t="s">
        <v>2433</v>
      </c>
    </row>
    <row r="90" spans="2:8" ht="15" customHeight="1" x14ac:dyDescent="0.25">
      <c r="B90" s="23" t="s">
        <v>2555</v>
      </c>
      <c r="C90" s="19" t="s">
        <v>2499</v>
      </c>
      <c r="D90" s="21" t="s">
        <v>2436</v>
      </c>
      <c r="E90" s="22" t="s">
        <v>2433</v>
      </c>
    </row>
    <row r="91" spans="2:8" ht="15" customHeight="1" x14ac:dyDescent="0.25">
      <c r="B91" s="23" t="s">
        <v>2556</v>
      </c>
      <c r="C91" s="19" t="s">
        <v>2500</v>
      </c>
      <c r="D91" s="21" t="s">
        <v>2436</v>
      </c>
      <c r="E91" s="22" t="s">
        <v>2433</v>
      </c>
    </row>
    <row r="92" spans="2:8" ht="15" customHeight="1" x14ac:dyDescent="0.25">
      <c r="B92" s="23" t="s">
        <v>2557</v>
      </c>
      <c r="C92" s="19" t="s">
        <v>2501</v>
      </c>
      <c r="D92" s="21" t="s">
        <v>2436</v>
      </c>
      <c r="E92" s="22" t="s">
        <v>2433</v>
      </c>
    </row>
    <row r="93" spans="2:8" ht="15" customHeight="1" x14ac:dyDescent="0.25">
      <c r="B93" s="23" t="s">
        <v>2558</v>
      </c>
      <c r="C93" s="19" t="s">
        <v>2502</v>
      </c>
      <c r="D93" s="21" t="s">
        <v>2436</v>
      </c>
      <c r="E93" s="22" t="s">
        <v>2433</v>
      </c>
    </row>
    <row r="94" spans="2:8" ht="15" customHeight="1" x14ac:dyDescent="0.25">
      <c r="B94" s="23" t="s">
        <v>2559</v>
      </c>
      <c r="C94" s="19" t="s">
        <v>2503</v>
      </c>
      <c r="D94" s="21" t="s">
        <v>2436</v>
      </c>
      <c r="E94" s="22" t="s">
        <v>2433</v>
      </c>
    </row>
    <row r="95" spans="2:8" ht="15" customHeight="1" x14ac:dyDescent="0.25">
      <c r="B95" s="23" t="s">
        <v>2560</v>
      </c>
      <c r="C95" s="19" t="s">
        <v>2504</v>
      </c>
      <c r="D95" s="21" t="s">
        <v>2436</v>
      </c>
      <c r="E95" s="22" t="s">
        <v>2433</v>
      </c>
    </row>
    <row r="96" spans="2:8" ht="15" customHeight="1" x14ac:dyDescent="0.25">
      <c r="B96" s="18">
        <v>40.020000000000003</v>
      </c>
      <c r="C96" s="19" t="s">
        <v>2505</v>
      </c>
      <c r="D96" s="21" t="s">
        <v>2444</v>
      </c>
      <c r="E96" s="22" t="s">
        <v>2433</v>
      </c>
    </row>
    <row r="97" spans="2:8" ht="15" customHeight="1" x14ac:dyDescent="0.25">
      <c r="B97" s="18">
        <v>40.03</v>
      </c>
      <c r="C97" s="19" t="s">
        <v>2506</v>
      </c>
      <c r="D97" s="21">
        <v>3.6299999999999999E-2</v>
      </c>
      <c r="E97" s="22">
        <v>0.8</v>
      </c>
      <c r="H97" s="57"/>
    </row>
    <row r="98" spans="2:8" ht="15" customHeight="1" x14ac:dyDescent="0.25">
      <c r="B98" s="18">
        <v>40.04</v>
      </c>
      <c r="C98" s="19" t="s">
        <v>2507</v>
      </c>
      <c r="D98" s="21">
        <v>6.7299999999999999E-2</v>
      </c>
      <c r="E98" s="22">
        <v>1.95</v>
      </c>
      <c r="H98" s="57"/>
    </row>
    <row r="99" spans="2:8" ht="15" customHeight="1" x14ac:dyDescent="0.25">
      <c r="B99" s="18">
        <v>40.049999999999997</v>
      </c>
      <c r="C99" s="19" t="s">
        <v>2508</v>
      </c>
      <c r="D99" s="21">
        <v>3.1199999999999999E-2</v>
      </c>
      <c r="E99" s="22">
        <v>1.49</v>
      </c>
      <c r="H99" s="57"/>
    </row>
    <row r="100" spans="2:8" ht="15" customHeight="1" x14ac:dyDescent="0.25">
      <c r="B100" s="18">
        <v>40.06</v>
      </c>
      <c r="C100" s="19" t="s">
        <v>2509</v>
      </c>
      <c r="D100" s="21">
        <v>3.7199999999999997E-2</v>
      </c>
      <c r="E100" s="22">
        <v>1.1599999999999999</v>
      </c>
      <c r="H100" s="57"/>
    </row>
    <row r="101" spans="2:8" ht="15" customHeight="1" x14ac:dyDescent="0.25">
      <c r="B101" s="18">
        <v>40.07</v>
      </c>
      <c r="C101" s="19" t="s">
        <v>2510</v>
      </c>
      <c r="D101" s="21">
        <v>3.8899999999999997E-2</v>
      </c>
      <c r="E101" s="22">
        <v>0.8</v>
      </c>
      <c r="H101" s="57"/>
    </row>
    <row r="102" spans="2:8" ht="15" customHeight="1" x14ac:dyDescent="0.25">
      <c r="B102" s="18">
        <v>40.08</v>
      </c>
      <c r="C102" s="19" t="s">
        <v>2511</v>
      </c>
      <c r="D102" s="21" t="s">
        <v>2444</v>
      </c>
      <c r="E102" s="22" t="s">
        <v>2433</v>
      </c>
    </row>
    <row r="103" spans="2:8" ht="15" customHeight="1" x14ac:dyDescent="0.25">
      <c r="B103" s="18">
        <v>40.090000000000003</v>
      </c>
      <c r="C103" s="19" t="s">
        <v>2512</v>
      </c>
      <c r="D103" s="21">
        <v>3.0499999999999999E-2</v>
      </c>
      <c r="E103" s="22">
        <v>1.2</v>
      </c>
      <c r="H103" s="57"/>
    </row>
    <row r="104" spans="2:8" ht="15" customHeight="1" x14ac:dyDescent="0.25">
      <c r="B104" s="18">
        <v>40.1</v>
      </c>
      <c r="C104" s="19" t="s">
        <v>2513</v>
      </c>
      <c r="D104" s="21">
        <v>3.5000000000000003E-2</v>
      </c>
      <c r="E104" s="22">
        <v>0.9</v>
      </c>
      <c r="H104" s="57"/>
    </row>
    <row r="105" spans="2:8" ht="15" customHeight="1" x14ac:dyDescent="0.25">
      <c r="B105" s="18">
        <v>40.11</v>
      </c>
      <c r="C105" s="19" t="s">
        <v>2514</v>
      </c>
      <c r="D105" s="21">
        <v>6.1100000000000002E-2</v>
      </c>
      <c r="E105" s="22">
        <v>0.87</v>
      </c>
      <c r="H105" s="57"/>
    </row>
    <row r="106" spans="2:8" ht="15" customHeight="1" x14ac:dyDescent="0.25">
      <c r="B106" s="18">
        <v>40.119999999999997</v>
      </c>
      <c r="C106" s="19" t="s">
        <v>2226</v>
      </c>
      <c r="D106" s="21">
        <v>4.5199999999999997E-2</v>
      </c>
      <c r="E106" s="22">
        <v>1.36</v>
      </c>
      <c r="H106" s="57"/>
    </row>
    <row r="107" spans="2:8" ht="15" customHeight="1" x14ac:dyDescent="0.25">
      <c r="B107" s="18">
        <v>40.130000000000003</v>
      </c>
      <c r="C107" s="19" t="s">
        <v>2515</v>
      </c>
      <c r="D107" s="21">
        <v>3.61E-2</v>
      </c>
      <c r="E107" s="22">
        <v>1.38</v>
      </c>
      <c r="H107" s="57"/>
    </row>
    <row r="108" spans="2:8" ht="15" customHeight="1" x14ac:dyDescent="0.25">
      <c r="B108" s="18">
        <v>40.14</v>
      </c>
      <c r="C108" s="19" t="s">
        <v>2516</v>
      </c>
      <c r="D108" s="21">
        <v>8.8599999999999998E-2</v>
      </c>
      <c r="E108" s="22">
        <v>1.18</v>
      </c>
      <c r="H108" s="57"/>
    </row>
    <row r="109" spans="2:8" ht="15" customHeight="1" x14ac:dyDescent="0.25">
      <c r="B109" s="18">
        <v>40.15</v>
      </c>
      <c r="C109" s="19" t="s">
        <v>2517</v>
      </c>
      <c r="D109" s="21">
        <v>3.2199999999999999E-2</v>
      </c>
      <c r="E109" s="22">
        <v>1.17</v>
      </c>
      <c r="H109" s="57"/>
    </row>
    <row r="110" spans="2:8" ht="15" customHeight="1" x14ac:dyDescent="0.25">
      <c r="B110" s="18">
        <v>40.159999999999997</v>
      </c>
      <c r="C110" s="19" t="s">
        <v>2518</v>
      </c>
      <c r="D110" s="21">
        <v>2.7300000000000001E-2</v>
      </c>
      <c r="E110" s="22">
        <v>0.8</v>
      </c>
      <c r="H110" s="57"/>
    </row>
    <row r="111" spans="2:8" ht="15" customHeight="1" x14ac:dyDescent="0.25">
      <c r="B111" s="18">
        <v>40.17</v>
      </c>
      <c r="C111" s="19" t="s">
        <v>2519</v>
      </c>
      <c r="D111" s="21">
        <v>4.8800000000000003E-2</v>
      </c>
      <c r="E111" s="22">
        <v>0.8</v>
      </c>
      <c r="H111" s="57"/>
    </row>
    <row r="112" spans="2:8" ht="15" customHeight="1" x14ac:dyDescent="0.25">
      <c r="B112" s="18">
        <v>40.18</v>
      </c>
      <c r="C112" s="19" t="s">
        <v>2520</v>
      </c>
      <c r="D112" s="21">
        <v>4.87E-2</v>
      </c>
      <c r="E112" s="22">
        <v>1</v>
      </c>
      <c r="H112" s="57"/>
    </row>
    <row r="113" spans="2:8" ht="15" customHeight="1" x14ac:dyDescent="0.25">
      <c r="B113" s="18">
        <v>40.21</v>
      </c>
      <c r="C113" s="19" t="s">
        <v>2521</v>
      </c>
      <c r="D113" s="21">
        <v>3.95E-2</v>
      </c>
      <c r="E113" s="22">
        <v>1.05</v>
      </c>
      <c r="H113" s="57"/>
    </row>
    <row r="114" spans="2:8" ht="15" customHeight="1" x14ac:dyDescent="0.25">
      <c r="B114" s="18">
        <v>40.22</v>
      </c>
      <c r="C114" s="19" t="s">
        <v>2522</v>
      </c>
      <c r="D114" s="21">
        <v>5.5100000000000003E-2</v>
      </c>
      <c r="E114" s="22">
        <v>1.1499999999999999</v>
      </c>
      <c r="H114" s="57"/>
    </row>
    <row r="115" spans="2:8" ht="15" customHeight="1" x14ac:dyDescent="0.25">
      <c r="B115" s="18">
        <v>40.229999999999997</v>
      </c>
      <c r="C115" s="19" t="s">
        <v>2523</v>
      </c>
      <c r="D115" s="21">
        <v>3.1800000000000002E-2</v>
      </c>
      <c r="E115" s="22">
        <v>0.8</v>
      </c>
      <c r="H115" s="57"/>
    </row>
    <row r="116" spans="2:8" ht="15" customHeight="1" x14ac:dyDescent="0.25">
      <c r="B116" s="18">
        <v>40.24</v>
      </c>
      <c r="C116" s="19" t="s">
        <v>2524</v>
      </c>
      <c r="D116" s="21">
        <v>6.2600000000000003E-2</v>
      </c>
      <c r="E116" s="22">
        <v>0.83</v>
      </c>
      <c r="H116" s="57"/>
    </row>
    <row r="117" spans="2:8" ht="15" customHeight="1" x14ac:dyDescent="0.25">
      <c r="B117" s="18">
        <v>40.25</v>
      </c>
      <c r="C117" s="19" t="s">
        <v>2525</v>
      </c>
      <c r="D117" s="21">
        <v>3.6999999999999998E-2</v>
      </c>
      <c r="E117" s="22">
        <v>0.87</v>
      </c>
      <c r="H117" s="57"/>
    </row>
    <row r="118" spans="2:8" ht="15" customHeight="1" x14ac:dyDescent="0.25">
      <c r="B118" s="18">
        <v>40.270000000000003</v>
      </c>
      <c r="C118" s="19" t="s">
        <v>2526</v>
      </c>
      <c r="D118" s="21" t="s">
        <v>2444</v>
      </c>
      <c r="E118" s="22" t="s">
        <v>2433</v>
      </c>
    </row>
    <row r="119" spans="2:8" ht="15" customHeight="1" x14ac:dyDescent="0.25">
      <c r="B119" s="18">
        <v>40.28</v>
      </c>
      <c r="C119" s="19" t="s">
        <v>2527</v>
      </c>
      <c r="D119" s="21">
        <v>3.6400000000000002E-2</v>
      </c>
      <c r="E119" s="22">
        <v>0.87</v>
      </c>
      <c r="H119" s="57"/>
    </row>
    <row r="120" spans="2:8" ht="15" customHeight="1" x14ac:dyDescent="0.25">
      <c r="B120" s="18">
        <v>40.29</v>
      </c>
      <c r="C120" s="19" t="s">
        <v>2528</v>
      </c>
      <c r="D120" s="21">
        <v>4.7600000000000003E-2</v>
      </c>
      <c r="E120" s="22">
        <v>1</v>
      </c>
      <c r="H120" s="57"/>
    </row>
    <row r="121" spans="2:8" ht="15" customHeight="1" x14ac:dyDescent="0.25">
      <c r="B121" s="18">
        <v>40.299999999999997</v>
      </c>
      <c r="C121" s="19" t="s">
        <v>2529</v>
      </c>
      <c r="D121" s="21">
        <v>2.46E-2</v>
      </c>
      <c r="E121" s="22">
        <v>1</v>
      </c>
      <c r="H121" s="57"/>
    </row>
    <row r="122" spans="2:8" ht="15" customHeight="1" x14ac:dyDescent="0.25">
      <c r="B122" s="18">
        <v>40.31</v>
      </c>
      <c r="C122" s="19" t="s">
        <v>2530</v>
      </c>
      <c r="D122" s="21">
        <v>4.3700000000000003E-2</v>
      </c>
      <c r="E122" s="22">
        <v>1</v>
      </c>
      <c r="H122" s="57"/>
    </row>
    <row r="123" spans="2:8" ht="15" customHeight="1" x14ac:dyDescent="0.25">
      <c r="B123" s="18">
        <v>40.32</v>
      </c>
      <c r="C123" s="19" t="s">
        <v>2531</v>
      </c>
      <c r="D123" s="21">
        <v>3.95E-2</v>
      </c>
      <c r="E123" s="22">
        <v>0.9</v>
      </c>
      <c r="H123" s="57"/>
    </row>
    <row r="124" spans="2:8" ht="15" customHeight="1" x14ac:dyDescent="0.25">
      <c r="B124" s="18">
        <v>40.33</v>
      </c>
      <c r="C124" s="19" t="s">
        <v>2532</v>
      </c>
      <c r="D124" s="21" t="s">
        <v>2444</v>
      </c>
      <c r="E124" s="22" t="s">
        <v>2433</v>
      </c>
    </row>
    <row r="125" spans="2:8" ht="15" customHeight="1" x14ac:dyDescent="0.25">
      <c r="B125" s="18">
        <v>40.35</v>
      </c>
      <c r="C125" s="19" t="s">
        <v>2451</v>
      </c>
      <c r="D125" s="21">
        <v>4.2500000000000003E-2</v>
      </c>
      <c r="E125" s="22">
        <v>1.26</v>
      </c>
      <c r="H125" s="57"/>
    </row>
    <row r="126" spans="2:8" ht="15" customHeight="1" x14ac:dyDescent="0.25">
      <c r="B126" s="18">
        <v>40.36</v>
      </c>
      <c r="C126" s="19" t="s">
        <v>2486</v>
      </c>
      <c r="D126" s="21">
        <v>4.1200000000000001E-2</v>
      </c>
      <c r="E126" s="22">
        <v>1</v>
      </c>
      <c r="H126" s="57"/>
    </row>
    <row r="127" spans="2:8" ht="15" customHeight="1" x14ac:dyDescent="0.25">
      <c r="B127" s="18">
        <v>40.369999999999997</v>
      </c>
      <c r="C127" s="19" t="s">
        <v>2487</v>
      </c>
      <c r="D127" s="21">
        <v>1.6199999999999999E-2</v>
      </c>
      <c r="E127" s="22">
        <v>1</v>
      </c>
      <c r="H127" s="57"/>
    </row>
    <row r="128" spans="2:8" ht="15" customHeight="1" x14ac:dyDescent="0.25">
      <c r="B128" s="18">
        <v>40.380000000000003</v>
      </c>
      <c r="C128" s="19" t="s">
        <v>2482</v>
      </c>
      <c r="D128" s="21">
        <v>3.9199999999999999E-2</v>
      </c>
      <c r="E128" s="22">
        <v>1</v>
      </c>
      <c r="H128" s="57"/>
    </row>
    <row r="129" spans="2:8" ht="15" customHeight="1" x14ac:dyDescent="0.25">
      <c r="B129" s="18">
        <v>40.39</v>
      </c>
      <c r="C129" s="19" t="s">
        <v>2453</v>
      </c>
      <c r="D129" s="21">
        <v>4.0300000000000002E-2</v>
      </c>
      <c r="E129" s="22">
        <v>1.63</v>
      </c>
      <c r="H129" s="57"/>
    </row>
    <row r="130" spans="2:8" ht="15" customHeight="1" x14ac:dyDescent="0.25">
      <c r="B130" s="18">
        <v>40.4</v>
      </c>
      <c r="C130" s="19" t="s">
        <v>2457</v>
      </c>
      <c r="D130" s="21">
        <v>4.5100000000000001E-2</v>
      </c>
      <c r="E130" s="22">
        <v>2</v>
      </c>
      <c r="H130" s="57"/>
    </row>
    <row r="131" spans="2:8" ht="15" customHeight="1" x14ac:dyDescent="0.25">
      <c r="B131" s="18">
        <v>40.409999999999997</v>
      </c>
      <c r="C131" s="19" t="s">
        <v>2463</v>
      </c>
      <c r="D131" s="21">
        <v>3.9600000000000003E-2</v>
      </c>
      <c r="E131" s="22">
        <v>1.4</v>
      </c>
      <c r="H131" s="57"/>
    </row>
    <row r="132" spans="2:8" ht="15" customHeight="1" x14ac:dyDescent="0.25">
      <c r="B132" s="18">
        <v>40.42</v>
      </c>
      <c r="C132" s="19" t="s">
        <v>2533</v>
      </c>
      <c r="D132" s="21">
        <v>4.9200000000000001E-2</v>
      </c>
      <c r="E132" s="22">
        <v>1.27</v>
      </c>
      <c r="H132" s="57"/>
    </row>
    <row r="133" spans="2:8" ht="15" customHeight="1" x14ac:dyDescent="0.25">
      <c r="B133" s="18">
        <v>40.43</v>
      </c>
      <c r="C133" s="19" t="s">
        <v>2464</v>
      </c>
      <c r="D133" s="21">
        <v>7.3999999999999996E-2</v>
      </c>
      <c r="E133" s="22">
        <v>1.46</v>
      </c>
      <c r="H133" s="57"/>
    </row>
    <row r="134" spans="2:8" ht="15" customHeight="1" x14ac:dyDescent="0.25">
      <c r="B134" s="18">
        <v>40.44</v>
      </c>
      <c r="C134" s="19" t="s">
        <v>2467</v>
      </c>
      <c r="D134" s="21">
        <v>2.9000000000000001E-2</v>
      </c>
      <c r="E134" s="22">
        <v>1.44</v>
      </c>
      <c r="H134" s="57"/>
    </row>
    <row r="135" spans="2:8" ht="15" customHeight="1" x14ac:dyDescent="0.25">
      <c r="B135" s="18">
        <v>40.450000000000003</v>
      </c>
      <c r="C135" s="19" t="s">
        <v>2471</v>
      </c>
      <c r="D135" s="21">
        <v>3.3500000000000002E-2</v>
      </c>
      <c r="E135" s="22">
        <v>1</v>
      </c>
      <c r="H135" s="57"/>
    </row>
    <row r="136" spans="2:8" ht="15" customHeight="1" x14ac:dyDescent="0.25">
      <c r="B136" s="18">
        <v>40.46</v>
      </c>
      <c r="C136" s="19" t="s">
        <v>2472</v>
      </c>
      <c r="D136" s="21">
        <v>3.6299999999999999E-2</v>
      </c>
      <c r="E136" s="22">
        <v>1</v>
      </c>
      <c r="H136" s="57"/>
    </row>
    <row r="137" spans="2:8" ht="15" customHeight="1" x14ac:dyDescent="0.25">
      <c r="B137" s="18">
        <v>40.47</v>
      </c>
      <c r="C137" s="19" t="s">
        <v>2473</v>
      </c>
      <c r="D137" s="21">
        <v>5.8000000000000003E-2</v>
      </c>
      <c r="E137" s="22">
        <v>1.1100000000000001</v>
      </c>
      <c r="H137" s="57"/>
    </row>
    <row r="138" spans="2:8" ht="15" customHeight="1" x14ac:dyDescent="0.25">
      <c r="B138" s="18">
        <v>40.479999999999997</v>
      </c>
      <c r="C138" s="19" t="s">
        <v>2534</v>
      </c>
      <c r="D138" s="21">
        <v>5.1799999999999999E-2</v>
      </c>
      <c r="E138" s="22">
        <v>0.8</v>
      </c>
      <c r="H138" s="57"/>
    </row>
    <row r="139" spans="2:8" ht="15" customHeight="1" x14ac:dyDescent="0.25">
      <c r="B139" s="18">
        <v>40.49</v>
      </c>
      <c r="C139" s="19" t="s">
        <v>2476</v>
      </c>
      <c r="D139" s="21">
        <v>4.8899999999999999E-2</v>
      </c>
      <c r="E139" s="22">
        <v>0.8</v>
      </c>
      <c r="H139" s="57"/>
    </row>
    <row r="140" spans="2:8" ht="15" customHeight="1" x14ac:dyDescent="0.25">
      <c r="B140" s="18">
        <v>40.5</v>
      </c>
      <c r="C140" s="19" t="s">
        <v>2474</v>
      </c>
      <c r="D140" s="21">
        <v>3.78E-2</v>
      </c>
      <c r="E140" s="22">
        <v>1.3</v>
      </c>
      <c r="H140" s="57"/>
    </row>
    <row r="141" spans="2:8" ht="15" customHeight="1" x14ac:dyDescent="0.25">
      <c r="B141" s="18">
        <v>40.51</v>
      </c>
      <c r="C141" s="19" t="s">
        <v>2470</v>
      </c>
      <c r="D141" s="21">
        <v>3.9100000000000003E-2</v>
      </c>
      <c r="E141" s="22">
        <v>1</v>
      </c>
      <c r="H141" s="57"/>
    </row>
    <row r="142" spans="2:8" ht="15" customHeight="1" x14ac:dyDescent="0.25">
      <c r="B142" s="18">
        <v>40.520000000000003</v>
      </c>
      <c r="C142" s="19" t="s">
        <v>2535</v>
      </c>
      <c r="D142" s="21">
        <v>4.7300000000000002E-2</v>
      </c>
      <c r="E142" s="22">
        <v>1.56</v>
      </c>
      <c r="H142" s="57"/>
    </row>
    <row r="143" spans="2:8" ht="15" customHeight="1" x14ac:dyDescent="0.25">
      <c r="B143" s="18">
        <v>40.53</v>
      </c>
      <c r="C143" s="19" t="s">
        <v>2442</v>
      </c>
      <c r="D143" s="21">
        <v>4.5199999999999997E-2</v>
      </c>
      <c r="E143" s="22">
        <v>1</v>
      </c>
      <c r="H143" s="57"/>
    </row>
    <row r="144" spans="2:8" ht="15" customHeight="1" x14ac:dyDescent="0.25">
      <c r="B144" s="18">
        <v>40.54</v>
      </c>
      <c r="C144" s="19" t="s">
        <v>2445</v>
      </c>
      <c r="D144" s="21">
        <v>2.4E-2</v>
      </c>
      <c r="E144" s="22">
        <v>1.0900000000000001</v>
      </c>
      <c r="H144" s="57"/>
    </row>
    <row r="145" spans="2:8" ht="15" customHeight="1" x14ac:dyDescent="0.25">
      <c r="B145" s="18">
        <v>40.549999999999997</v>
      </c>
      <c r="C145" s="19" t="s">
        <v>2536</v>
      </c>
      <c r="D145" s="21">
        <v>4.5999999999999999E-2</v>
      </c>
      <c r="E145" s="22">
        <v>1</v>
      </c>
      <c r="H145" s="57"/>
    </row>
    <row r="146" spans="2:8" ht="15" customHeight="1" x14ac:dyDescent="0.25">
      <c r="B146" s="18">
        <v>40.56</v>
      </c>
      <c r="C146" s="19" t="s">
        <v>2537</v>
      </c>
      <c r="D146" s="21">
        <v>4.7399999999999998E-2</v>
      </c>
      <c r="E146" s="22">
        <v>1</v>
      </c>
      <c r="H146" s="57"/>
    </row>
    <row r="147" spans="2:8" ht="15" customHeight="1" x14ac:dyDescent="0.25">
      <c r="B147" s="18">
        <v>40.57</v>
      </c>
      <c r="C147" s="19" t="s">
        <v>2538</v>
      </c>
      <c r="D147" s="21">
        <v>5.0200000000000002E-2</v>
      </c>
      <c r="E147" s="22">
        <v>1</v>
      </c>
      <c r="H147" s="57"/>
    </row>
    <row r="148" spans="2:8" ht="15" customHeight="1" x14ac:dyDescent="0.25">
      <c r="B148" s="18">
        <v>40.58</v>
      </c>
      <c r="C148" s="19" t="s">
        <v>2539</v>
      </c>
      <c r="D148" s="21">
        <v>4.9299999999999997E-2</v>
      </c>
      <c r="E148" s="22">
        <v>0.81</v>
      </c>
      <c r="H148" s="57"/>
    </row>
    <row r="149" spans="2:8" ht="15" customHeight="1" x14ac:dyDescent="0.25">
      <c r="B149" s="18">
        <v>40.590000000000003</v>
      </c>
      <c r="C149" s="19" t="s">
        <v>2540</v>
      </c>
      <c r="D149" s="21">
        <v>3.5499999999999997E-2</v>
      </c>
      <c r="E149" s="22">
        <v>1.1599999999999999</v>
      </c>
      <c r="H149" s="57"/>
    </row>
    <row r="150" spans="2:8" ht="15" customHeight="1" x14ac:dyDescent="0.25">
      <c r="B150" s="18">
        <v>40.6</v>
      </c>
      <c r="C150" s="19" t="s">
        <v>2541</v>
      </c>
      <c r="D150" s="21">
        <v>3.7199999999999997E-2</v>
      </c>
      <c r="E150" s="22">
        <v>1.81</v>
      </c>
      <c r="H150" s="57"/>
    </row>
    <row r="151" spans="2:8" ht="15" customHeight="1" x14ac:dyDescent="0.25">
      <c r="B151" s="18">
        <v>40.61</v>
      </c>
      <c r="C151" s="19" t="s">
        <v>2492</v>
      </c>
      <c r="D151" s="21">
        <v>4.4900000000000002E-2</v>
      </c>
      <c r="E151" s="22">
        <v>0.89</v>
      </c>
      <c r="H151" s="57"/>
    </row>
    <row r="152" spans="2:8" ht="15" customHeight="1" x14ac:dyDescent="0.25">
      <c r="B152" s="18">
        <v>40.619999999999997</v>
      </c>
      <c r="C152" s="19" t="s">
        <v>2493</v>
      </c>
      <c r="D152" s="21">
        <v>5.8999999999999997E-2</v>
      </c>
      <c r="E152" s="22">
        <v>1.05</v>
      </c>
      <c r="H152" s="57"/>
    </row>
    <row r="153" spans="2:8" ht="15" customHeight="1" x14ac:dyDescent="0.25">
      <c r="B153" s="18">
        <v>40.630000000000003</v>
      </c>
      <c r="C153" s="19" t="s">
        <v>2494</v>
      </c>
      <c r="D153" s="21">
        <v>2.7099999999999999E-2</v>
      </c>
      <c r="E153" s="22">
        <v>1</v>
      </c>
      <c r="H153" s="57"/>
    </row>
    <row r="154" spans="2:8" ht="15" customHeight="1" x14ac:dyDescent="0.25">
      <c r="B154" s="18">
        <v>40.64</v>
      </c>
      <c r="C154" s="19" t="s">
        <v>2542</v>
      </c>
      <c r="D154" s="21">
        <v>5.5199999999999999E-2</v>
      </c>
      <c r="E154" s="22">
        <v>1.43</v>
      </c>
      <c r="H154" s="57"/>
    </row>
    <row r="155" spans="2:8" ht="15" customHeight="1" x14ac:dyDescent="0.25">
      <c r="B155" s="18">
        <v>40.65</v>
      </c>
      <c r="C155" s="19" t="s">
        <v>2543</v>
      </c>
      <c r="D155" s="21">
        <v>5.8999999999999997E-2</v>
      </c>
      <c r="E155" s="22">
        <v>1</v>
      </c>
      <c r="H155" s="57"/>
    </row>
    <row r="156" spans="2:8" ht="15" customHeight="1" x14ac:dyDescent="0.25">
      <c r="B156" s="18">
        <v>40.659999999999997</v>
      </c>
      <c r="C156" s="19" t="s">
        <v>2544</v>
      </c>
      <c r="D156" s="21">
        <v>5.4800000000000001E-2</v>
      </c>
      <c r="E156" s="22">
        <v>1</v>
      </c>
      <c r="H156" s="57"/>
    </row>
    <row r="157" spans="2:8" ht="15" customHeight="1" x14ac:dyDescent="0.25">
      <c r="B157" s="23" t="s">
        <v>2550</v>
      </c>
      <c r="C157" s="19" t="s">
        <v>2495</v>
      </c>
      <c r="D157" s="21">
        <v>4.5199999999999997E-2</v>
      </c>
      <c r="E157" s="22">
        <v>1</v>
      </c>
      <c r="H157" s="57"/>
    </row>
    <row r="158" spans="2:8" ht="15" customHeight="1" x14ac:dyDescent="0.25">
      <c r="B158" s="49">
        <v>40.68</v>
      </c>
      <c r="C158" s="50" t="s">
        <v>2545</v>
      </c>
      <c r="D158" s="51">
        <v>2.9899999999999999E-2</v>
      </c>
      <c r="E158" s="52">
        <v>1</v>
      </c>
      <c r="H158" s="57"/>
    </row>
    <row r="159" spans="2:8" ht="15" customHeight="1" x14ac:dyDescent="0.25">
      <c r="B159" s="53"/>
      <c r="C159" s="54"/>
      <c r="D159" s="55"/>
      <c r="E159" s="56"/>
    </row>
    <row r="160" spans="2:8" ht="15" customHeight="1" x14ac:dyDescent="0.25">
      <c r="B160" s="20"/>
    </row>
    <row r="161" spans="2:2" ht="15" customHeight="1" x14ac:dyDescent="0.25">
      <c r="B161" s="33" t="s">
        <v>2549</v>
      </c>
    </row>
    <row r="162" spans="2:2" ht="15" customHeight="1" x14ac:dyDescent="0.25">
      <c r="B162" s="33" t="s">
        <v>32</v>
      </c>
    </row>
    <row r="163" spans="2:2" ht="15" customHeight="1" x14ac:dyDescent="0.25">
      <c r="B163" s="34"/>
    </row>
    <row r="164" spans="2:2" ht="15" customHeight="1" x14ac:dyDescent="0.25">
      <c r="B164" s="33" t="s">
        <v>2548</v>
      </c>
    </row>
    <row r="165" spans="2:2" ht="15" customHeight="1" x14ac:dyDescent="0.25">
      <c r="B165" s="33" t="s">
        <v>33</v>
      </c>
    </row>
    <row r="166" spans="2:2" ht="15" customHeight="1" x14ac:dyDescent="0.25">
      <c r="B166" s="33"/>
    </row>
    <row r="167" spans="2:2" ht="15" customHeight="1" x14ac:dyDescent="0.25">
      <c r="B167" s="35" t="s">
        <v>2547</v>
      </c>
    </row>
    <row r="168" spans="2:2" ht="15" customHeight="1" x14ac:dyDescent="0.25">
      <c r="B168" s="35"/>
    </row>
    <row r="169" spans="2:2" ht="15" customHeight="1" x14ac:dyDescent="0.25">
      <c r="B169" s="35" t="s">
        <v>2546</v>
      </c>
    </row>
  </sheetData>
  <pageMargins left="0.7" right="0.7" top="0.75" bottom="0.75" header="0.3" footer="0.3"/>
  <pageSetup paperSize="9" scale="29" orientation="portrait" r:id="rId1"/>
  <ignoredErrors>
    <ignoredError sqref="B21:B24 B27 B86:B95 B15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  <pageSetUpPr fitToPage="1"/>
  </sheetPr>
  <dimension ref="B1:E183"/>
  <sheetViews>
    <sheetView showGridLines="0" workbookViewId="0"/>
  </sheetViews>
  <sheetFormatPr defaultRowHeight="15" customHeight="1" x14ac:dyDescent="0.25"/>
  <cols>
    <col min="1" max="1" width="2.7109375" customWidth="1"/>
    <col min="2" max="2" width="13.5703125" customWidth="1"/>
    <col min="3" max="3" width="82" bestFit="1" customWidth="1"/>
    <col min="4" max="4" width="15.42578125" customWidth="1"/>
  </cols>
  <sheetData>
    <row r="1" spans="2:5" ht="20.100000000000001" customHeight="1" x14ac:dyDescent="0.25"/>
    <row r="2" spans="2:5" ht="20.100000000000001" customHeight="1" x14ac:dyDescent="0.3">
      <c r="B2" s="30" t="s">
        <v>49</v>
      </c>
      <c r="C2" s="12"/>
      <c r="D2" s="12"/>
      <c r="E2" s="12"/>
    </row>
    <row r="3" spans="2:5" ht="20.100000000000001" customHeight="1" x14ac:dyDescent="0.25">
      <c r="B3" s="3"/>
      <c r="C3" s="20"/>
      <c r="D3" s="20"/>
      <c r="E3" s="12"/>
    </row>
    <row r="4" spans="2:5" ht="20.100000000000001" customHeight="1" x14ac:dyDescent="0.25">
      <c r="B4" s="4" t="s">
        <v>50</v>
      </c>
      <c r="C4" s="4"/>
      <c r="D4" s="4"/>
      <c r="E4" s="4"/>
    </row>
    <row r="5" spans="2:5" ht="20.100000000000001" customHeight="1" x14ac:dyDescent="0.25">
      <c r="B5" s="5"/>
      <c r="C5" s="4"/>
      <c r="D5" s="20"/>
      <c r="E5" s="12"/>
    </row>
    <row r="6" spans="2:5" ht="36" customHeight="1" x14ac:dyDescent="0.25">
      <c r="B6" s="44" t="s">
        <v>58</v>
      </c>
      <c r="C6" s="44" t="s">
        <v>2</v>
      </c>
      <c r="D6" s="44" t="s">
        <v>21</v>
      </c>
      <c r="E6" s="12"/>
    </row>
    <row r="7" spans="2:5" ht="15" customHeight="1" x14ac:dyDescent="0.25">
      <c r="B7" s="24" t="s">
        <v>1837</v>
      </c>
      <c r="C7" s="25" t="s">
        <v>1838</v>
      </c>
      <c r="D7" s="26">
        <v>3.5499999999999997E-2</v>
      </c>
      <c r="E7" s="12"/>
    </row>
    <row r="8" spans="2:5" ht="15" customHeight="1" x14ac:dyDescent="0.25">
      <c r="B8" s="24" t="s">
        <v>1839</v>
      </c>
      <c r="C8" s="25" t="s">
        <v>1840</v>
      </c>
      <c r="D8" s="26">
        <v>0.1002</v>
      </c>
      <c r="E8" s="12"/>
    </row>
    <row r="9" spans="2:5" ht="15" customHeight="1" x14ac:dyDescent="0.25">
      <c r="B9" s="24" t="s">
        <v>1841</v>
      </c>
      <c r="C9" s="25" t="s">
        <v>1842</v>
      </c>
      <c r="D9" s="26">
        <v>7.6399999999999996E-2</v>
      </c>
      <c r="E9" s="12"/>
    </row>
    <row r="10" spans="2:5" ht="15" customHeight="1" x14ac:dyDescent="0.25">
      <c r="B10" s="24" t="s">
        <v>1843</v>
      </c>
      <c r="C10" s="25" t="s">
        <v>1844</v>
      </c>
      <c r="D10" s="26">
        <v>0.28370000000000001</v>
      </c>
      <c r="E10" s="12"/>
    </row>
    <row r="11" spans="2:5" ht="15" customHeight="1" x14ac:dyDescent="0.25">
      <c r="B11" s="24" t="s">
        <v>1845</v>
      </c>
      <c r="C11" s="25" t="s">
        <v>1846</v>
      </c>
      <c r="D11" s="26">
        <v>0.18279999999999999</v>
      </c>
      <c r="E11" s="12"/>
    </row>
    <row r="12" spans="2:5" ht="15" customHeight="1" x14ac:dyDescent="0.25">
      <c r="B12" s="24" t="s">
        <v>1847</v>
      </c>
      <c r="C12" s="25" t="s">
        <v>1848</v>
      </c>
      <c r="D12" s="26">
        <v>0.34739999999999999</v>
      </c>
      <c r="E12" s="12"/>
    </row>
    <row r="13" spans="2:5" ht="15" customHeight="1" x14ac:dyDescent="0.25">
      <c r="B13" s="24" t="s">
        <v>1849</v>
      </c>
      <c r="C13" s="25" t="s">
        <v>1850</v>
      </c>
      <c r="D13" s="26">
        <v>0.26250000000000001</v>
      </c>
      <c r="E13" s="12"/>
    </row>
    <row r="14" spans="2:5" ht="15" customHeight="1" x14ac:dyDescent="0.25">
      <c r="B14" s="24" t="s">
        <v>1851</v>
      </c>
      <c r="C14" s="25" t="s">
        <v>1852</v>
      </c>
      <c r="D14" s="26">
        <v>0.44290000000000002</v>
      </c>
      <c r="E14" s="12"/>
    </row>
    <row r="15" spans="2:5" ht="15" customHeight="1" x14ac:dyDescent="0.25">
      <c r="B15" s="24" t="s">
        <v>1853</v>
      </c>
      <c r="C15" s="25" t="s">
        <v>1854</v>
      </c>
      <c r="D15" s="26">
        <v>0.3609</v>
      </c>
      <c r="E15" s="12"/>
    </row>
    <row r="16" spans="2:5" ht="15" customHeight="1" x14ac:dyDescent="0.25">
      <c r="B16" s="24" t="s">
        <v>1855</v>
      </c>
      <c r="C16" s="25" t="s">
        <v>1856</v>
      </c>
      <c r="D16" s="26">
        <v>0.29320000000000002</v>
      </c>
      <c r="E16" s="12"/>
    </row>
    <row r="17" spans="2:5" ht="15" customHeight="1" x14ac:dyDescent="0.25">
      <c r="B17" s="24" t="s">
        <v>1857</v>
      </c>
      <c r="C17" s="25" t="s">
        <v>1858</v>
      </c>
      <c r="D17" s="26">
        <v>0.3523</v>
      </c>
      <c r="E17" s="12"/>
    </row>
    <row r="18" spans="2:5" ht="15" customHeight="1" x14ac:dyDescent="0.25">
      <c r="B18" s="24" t="s">
        <v>1859</v>
      </c>
      <c r="C18" s="25" t="s">
        <v>1860</v>
      </c>
      <c r="D18" s="26">
        <v>0.2205</v>
      </c>
      <c r="E18" s="12"/>
    </row>
    <row r="19" spans="2:5" ht="15" customHeight="1" x14ac:dyDescent="0.25">
      <c r="B19" s="24" t="s">
        <v>1861</v>
      </c>
      <c r="C19" s="25" t="s">
        <v>1862</v>
      </c>
      <c r="D19" s="26">
        <v>0.16</v>
      </c>
      <c r="E19" s="12"/>
    </row>
    <row r="20" spans="2:5" ht="15" customHeight="1" x14ac:dyDescent="0.25">
      <c r="B20" s="24" t="s">
        <v>1863</v>
      </c>
      <c r="C20" s="25" t="s">
        <v>1864</v>
      </c>
      <c r="D20" s="26">
        <v>0.26989999999999997</v>
      </c>
      <c r="E20" s="12"/>
    </row>
    <row r="21" spans="2:5" ht="15" customHeight="1" x14ac:dyDescent="0.25">
      <c r="B21" s="24" t="s">
        <v>1865</v>
      </c>
      <c r="C21" s="25" t="s">
        <v>1866</v>
      </c>
      <c r="D21" s="26">
        <v>0.153</v>
      </c>
      <c r="E21" s="12"/>
    </row>
    <row r="22" spans="2:5" ht="15" customHeight="1" x14ac:dyDescent="0.25">
      <c r="B22" s="24" t="s">
        <v>1867</v>
      </c>
      <c r="C22" s="25" t="s">
        <v>1868</v>
      </c>
      <c r="D22" s="26">
        <v>0.2006</v>
      </c>
      <c r="E22" s="12"/>
    </row>
    <row r="23" spans="2:5" ht="15" customHeight="1" x14ac:dyDescent="0.25">
      <c r="B23" s="24" t="s">
        <v>1869</v>
      </c>
      <c r="C23" s="25" t="s">
        <v>1870</v>
      </c>
      <c r="D23" s="26">
        <v>0.12770000000000001</v>
      </c>
      <c r="E23" s="12"/>
    </row>
    <row r="24" spans="2:5" ht="15" customHeight="1" x14ac:dyDescent="0.25">
      <c r="B24" s="24" t="s">
        <v>1871</v>
      </c>
      <c r="C24" s="25" t="s">
        <v>1872</v>
      </c>
      <c r="D24" s="26">
        <v>0.30399999999999999</v>
      </c>
      <c r="E24" s="12"/>
    </row>
    <row r="25" spans="2:5" ht="15" customHeight="1" x14ac:dyDescent="0.25">
      <c r="B25" s="24" t="s">
        <v>1873</v>
      </c>
      <c r="C25" s="25" t="s">
        <v>1874</v>
      </c>
      <c r="D25" s="26">
        <v>0.23180000000000001</v>
      </c>
      <c r="E25" s="12"/>
    </row>
    <row r="26" spans="2:5" ht="15" customHeight="1" x14ac:dyDescent="0.25">
      <c r="B26" s="24" t="s">
        <v>1875</v>
      </c>
      <c r="C26" s="25" t="s">
        <v>1876</v>
      </c>
      <c r="D26" s="26">
        <v>0.1439</v>
      </c>
      <c r="E26" s="12"/>
    </row>
    <row r="27" spans="2:5" ht="15" customHeight="1" x14ac:dyDescent="0.25">
      <c r="B27" s="24" t="s">
        <v>1877</v>
      </c>
      <c r="C27" s="25" t="s">
        <v>1878</v>
      </c>
      <c r="D27" s="26">
        <v>0.1731</v>
      </c>
      <c r="E27" s="12"/>
    </row>
    <row r="28" spans="2:5" ht="15" customHeight="1" x14ac:dyDescent="0.25">
      <c r="B28" s="24" t="s">
        <v>1879</v>
      </c>
      <c r="C28" s="25" t="s">
        <v>1880</v>
      </c>
      <c r="D28" s="26">
        <v>9.8799999999999999E-2</v>
      </c>
      <c r="E28" s="12"/>
    </row>
    <row r="29" spans="2:5" ht="15" customHeight="1" x14ac:dyDescent="0.25">
      <c r="B29" s="24" t="s">
        <v>1881</v>
      </c>
      <c r="C29" s="25" t="s">
        <v>1882</v>
      </c>
      <c r="D29" s="26">
        <v>7.1599999999999997E-2</v>
      </c>
      <c r="E29" s="12"/>
    </row>
    <row r="30" spans="2:5" ht="15" customHeight="1" x14ac:dyDescent="0.25">
      <c r="B30" s="24" t="s">
        <v>1883</v>
      </c>
      <c r="C30" s="25" t="s">
        <v>1884</v>
      </c>
      <c r="D30" s="26">
        <v>0.17530000000000001</v>
      </c>
      <c r="E30" s="12"/>
    </row>
    <row r="31" spans="2:5" ht="15" customHeight="1" x14ac:dyDescent="0.25">
      <c r="B31" s="24" t="s">
        <v>1885</v>
      </c>
      <c r="C31" s="25" t="s">
        <v>1886</v>
      </c>
      <c r="D31" s="26">
        <v>0.1125</v>
      </c>
      <c r="E31" s="12"/>
    </row>
    <row r="32" spans="2:5" ht="15" customHeight="1" x14ac:dyDescent="0.25">
      <c r="B32" s="24" t="s">
        <v>1887</v>
      </c>
      <c r="C32" s="25" t="s">
        <v>1888</v>
      </c>
      <c r="D32" s="26">
        <v>7.6399999999999996E-2</v>
      </c>
      <c r="E32" s="12"/>
    </row>
    <row r="33" spans="2:5" ht="15" customHeight="1" x14ac:dyDescent="0.25">
      <c r="B33" s="24" t="s">
        <v>1889</v>
      </c>
      <c r="C33" s="25" t="s">
        <v>1890</v>
      </c>
      <c r="D33" s="26">
        <v>0.18820000000000001</v>
      </c>
      <c r="E33" s="12"/>
    </row>
    <row r="34" spans="2:5" ht="15" customHeight="1" x14ac:dyDescent="0.25">
      <c r="B34" s="24" t="s">
        <v>1891</v>
      </c>
      <c r="C34" s="25" t="s">
        <v>1892</v>
      </c>
      <c r="D34" s="26">
        <v>0.1172</v>
      </c>
      <c r="E34" s="12"/>
    </row>
    <row r="35" spans="2:5" ht="15" customHeight="1" x14ac:dyDescent="0.25">
      <c r="B35" s="24" t="s">
        <v>1893</v>
      </c>
      <c r="C35" s="25" t="s">
        <v>1894</v>
      </c>
      <c r="D35" s="26">
        <v>8.6300000000000002E-2</v>
      </c>
      <c r="E35" s="12"/>
    </row>
    <row r="36" spans="2:5" ht="15" customHeight="1" x14ac:dyDescent="0.25">
      <c r="B36" s="24" t="s">
        <v>1895</v>
      </c>
      <c r="C36" s="25" t="s">
        <v>1896</v>
      </c>
      <c r="D36" s="26">
        <v>0.38419999999999999</v>
      </c>
      <c r="E36" s="12"/>
    </row>
    <row r="37" spans="2:5" ht="15" customHeight="1" x14ac:dyDescent="0.25">
      <c r="B37" s="24" t="s">
        <v>1897</v>
      </c>
      <c r="C37" s="25" t="s">
        <v>1898</v>
      </c>
      <c r="D37" s="26">
        <v>0.31190000000000001</v>
      </c>
      <c r="E37" s="12"/>
    </row>
    <row r="38" spans="2:5" ht="15" customHeight="1" x14ac:dyDescent="0.25">
      <c r="B38" s="24" t="s">
        <v>1899</v>
      </c>
      <c r="C38" s="25" t="s">
        <v>1900</v>
      </c>
      <c r="D38" s="26">
        <v>0.25180000000000002</v>
      </c>
      <c r="E38" s="12"/>
    </row>
    <row r="39" spans="2:5" ht="15" customHeight="1" x14ac:dyDescent="0.25">
      <c r="B39" s="24" t="s">
        <v>1901</v>
      </c>
      <c r="C39" s="25" t="s">
        <v>1902</v>
      </c>
      <c r="D39" s="26">
        <v>0.31590000000000001</v>
      </c>
      <c r="E39" s="12"/>
    </row>
    <row r="40" spans="2:5" ht="15" customHeight="1" x14ac:dyDescent="0.25">
      <c r="B40" s="24" t="s">
        <v>1903</v>
      </c>
      <c r="C40" s="25" t="s">
        <v>1904</v>
      </c>
      <c r="D40" s="26">
        <v>0.27089999999999997</v>
      </c>
      <c r="E40" s="12"/>
    </row>
    <row r="41" spans="2:5" ht="15" customHeight="1" x14ac:dyDescent="0.25">
      <c r="B41" s="24" t="s">
        <v>1905</v>
      </c>
      <c r="C41" s="25" t="s">
        <v>1906</v>
      </c>
      <c r="D41" s="26">
        <v>0.19520000000000001</v>
      </c>
      <c r="E41" s="12"/>
    </row>
    <row r="42" spans="2:5" ht="15" customHeight="1" x14ac:dyDescent="0.25">
      <c r="B42" s="24" t="s">
        <v>1907</v>
      </c>
      <c r="C42" s="25" t="s">
        <v>1908</v>
      </c>
      <c r="D42" s="26">
        <v>0.2198</v>
      </c>
      <c r="E42" s="12"/>
    </row>
    <row r="43" spans="2:5" ht="15" customHeight="1" x14ac:dyDescent="0.25">
      <c r="B43" s="24" t="s">
        <v>1909</v>
      </c>
      <c r="C43" s="25" t="s">
        <v>1910</v>
      </c>
      <c r="D43" s="26">
        <v>0.1676</v>
      </c>
      <c r="E43" s="12"/>
    </row>
    <row r="44" spans="2:5" ht="15" customHeight="1" x14ac:dyDescent="0.25">
      <c r="B44" s="24" t="s">
        <v>1911</v>
      </c>
      <c r="C44" s="25" t="s">
        <v>1912</v>
      </c>
      <c r="D44" s="26">
        <v>0.1206</v>
      </c>
      <c r="E44" s="12"/>
    </row>
    <row r="45" spans="2:5" ht="15" customHeight="1" x14ac:dyDescent="0.25">
      <c r="B45" s="24" t="s">
        <v>1913</v>
      </c>
      <c r="C45" s="25" t="s">
        <v>1914</v>
      </c>
      <c r="D45" s="26">
        <v>0.16059999999999999</v>
      </c>
      <c r="E45" s="12"/>
    </row>
    <row r="46" spans="2:5" ht="15" customHeight="1" x14ac:dyDescent="0.25">
      <c r="B46" s="24" t="s">
        <v>1915</v>
      </c>
      <c r="C46" s="25" t="s">
        <v>1916</v>
      </c>
      <c r="D46" s="26">
        <v>9.9199999999999997E-2</v>
      </c>
      <c r="E46" s="12"/>
    </row>
    <row r="47" spans="2:5" ht="15" customHeight="1" x14ac:dyDescent="0.25">
      <c r="B47" s="24" t="s">
        <v>1917</v>
      </c>
      <c r="C47" s="25" t="s">
        <v>1918</v>
      </c>
      <c r="D47" s="26">
        <v>0.30790000000000001</v>
      </c>
      <c r="E47" s="12"/>
    </row>
    <row r="48" spans="2:5" ht="15" customHeight="1" x14ac:dyDescent="0.25">
      <c r="B48" s="24" t="s">
        <v>1919</v>
      </c>
      <c r="C48" s="25" t="s">
        <v>1920</v>
      </c>
      <c r="D48" s="26">
        <v>0.21820000000000001</v>
      </c>
      <c r="E48" s="12"/>
    </row>
    <row r="49" spans="2:5" ht="15" customHeight="1" x14ac:dyDescent="0.25">
      <c r="B49" s="24" t="s">
        <v>1921</v>
      </c>
      <c r="C49" s="25" t="s">
        <v>1922</v>
      </c>
      <c r="D49" s="26">
        <v>0.13120000000000001</v>
      </c>
      <c r="E49" s="12"/>
    </row>
    <row r="50" spans="2:5" ht="15" customHeight="1" x14ac:dyDescent="0.25">
      <c r="B50" s="24" t="s">
        <v>1923</v>
      </c>
      <c r="C50" s="25" t="s">
        <v>1924</v>
      </c>
      <c r="D50" s="26">
        <v>0.30990000000000001</v>
      </c>
      <c r="E50" s="12"/>
    </row>
    <row r="51" spans="2:5" ht="15" customHeight="1" x14ac:dyDescent="0.25">
      <c r="B51" s="24" t="s">
        <v>1925</v>
      </c>
      <c r="C51" s="25" t="s">
        <v>1926</v>
      </c>
      <c r="D51" s="26">
        <v>0.23400000000000001</v>
      </c>
      <c r="E51" s="12"/>
    </row>
    <row r="52" spans="2:5" ht="15" customHeight="1" x14ac:dyDescent="0.25">
      <c r="B52" s="24" t="s">
        <v>1927</v>
      </c>
      <c r="C52" s="25" t="s">
        <v>1928</v>
      </c>
      <c r="D52" s="26">
        <v>0.16839999999999999</v>
      </c>
      <c r="E52" s="12"/>
    </row>
    <row r="53" spans="2:5" ht="15" customHeight="1" x14ac:dyDescent="0.25">
      <c r="B53" s="24" t="s">
        <v>1929</v>
      </c>
      <c r="C53" s="25" t="s">
        <v>1930</v>
      </c>
      <c r="D53" s="26">
        <v>0.1019</v>
      </c>
      <c r="E53" s="12"/>
    </row>
    <row r="54" spans="2:5" ht="15" customHeight="1" x14ac:dyDescent="0.25">
      <c r="B54" s="24" t="s">
        <v>1931</v>
      </c>
      <c r="C54" s="25" t="s">
        <v>1932</v>
      </c>
      <c r="D54" s="26">
        <v>0.25</v>
      </c>
      <c r="E54" s="12"/>
    </row>
    <row r="55" spans="2:5" ht="15" customHeight="1" x14ac:dyDescent="0.25">
      <c r="B55" s="24" t="s">
        <v>1933</v>
      </c>
      <c r="C55" s="25" t="s">
        <v>1934</v>
      </c>
      <c r="D55" s="26">
        <v>0.2576</v>
      </c>
      <c r="E55" s="12"/>
    </row>
    <row r="56" spans="2:5" ht="15" customHeight="1" x14ac:dyDescent="0.25">
      <c r="B56" s="24" t="s">
        <v>1935</v>
      </c>
      <c r="C56" s="25" t="s">
        <v>1936</v>
      </c>
      <c r="D56" s="26">
        <v>0.17199999999999999</v>
      </c>
      <c r="E56" s="12"/>
    </row>
    <row r="57" spans="2:5" ht="15" customHeight="1" x14ac:dyDescent="0.25">
      <c r="B57" s="24" t="s">
        <v>1937</v>
      </c>
      <c r="C57" s="25" t="s">
        <v>1938</v>
      </c>
      <c r="D57" s="26">
        <v>0.2999</v>
      </c>
      <c r="E57" s="12"/>
    </row>
    <row r="58" spans="2:5" ht="15" customHeight="1" x14ac:dyDescent="0.25">
      <c r="B58" s="24" t="s">
        <v>1939</v>
      </c>
      <c r="C58" s="25" t="s">
        <v>1940</v>
      </c>
      <c r="D58" s="26">
        <v>0.2397</v>
      </c>
      <c r="E58" s="12"/>
    </row>
    <row r="59" spans="2:5" ht="15" customHeight="1" x14ac:dyDescent="0.25">
      <c r="B59" s="24" t="s">
        <v>1941</v>
      </c>
      <c r="C59" s="25" t="s">
        <v>1942</v>
      </c>
      <c r="D59" s="26">
        <v>0.2039</v>
      </c>
      <c r="E59" s="12"/>
    </row>
    <row r="60" spans="2:5" ht="15" customHeight="1" x14ac:dyDescent="0.25">
      <c r="B60" s="24" t="s">
        <v>1943</v>
      </c>
      <c r="C60" s="25" t="s">
        <v>1944</v>
      </c>
      <c r="D60" s="26">
        <v>0.1797</v>
      </c>
      <c r="E60" s="12"/>
    </row>
    <row r="61" spans="2:5" ht="15" customHeight="1" x14ac:dyDescent="0.25">
      <c r="B61" s="24" t="s">
        <v>1945</v>
      </c>
      <c r="C61" s="25" t="s">
        <v>1946</v>
      </c>
      <c r="D61" s="26">
        <v>0.14349999999999999</v>
      </c>
      <c r="E61" s="12"/>
    </row>
    <row r="62" spans="2:5" ht="15" customHeight="1" x14ac:dyDescent="0.25">
      <c r="B62" s="24" t="s">
        <v>1947</v>
      </c>
      <c r="C62" s="25" t="s">
        <v>1948</v>
      </c>
      <c r="D62" s="26">
        <v>0.26960000000000001</v>
      </c>
      <c r="E62" s="12"/>
    </row>
    <row r="63" spans="2:5" ht="15" customHeight="1" x14ac:dyDescent="0.25">
      <c r="B63" s="24" t="s">
        <v>1949</v>
      </c>
      <c r="C63" s="25" t="s">
        <v>1950</v>
      </c>
      <c r="D63" s="26">
        <v>0.18709999999999999</v>
      </c>
      <c r="E63" s="12"/>
    </row>
    <row r="64" spans="2:5" ht="15" customHeight="1" x14ac:dyDescent="0.25">
      <c r="B64" s="24" t="s">
        <v>1951</v>
      </c>
      <c r="C64" s="25" t="s">
        <v>1952</v>
      </c>
      <c r="D64" s="26">
        <v>0.12740000000000001</v>
      </c>
      <c r="E64" s="12"/>
    </row>
    <row r="65" spans="2:5" ht="15" customHeight="1" x14ac:dyDescent="0.25">
      <c r="B65" s="24" t="s">
        <v>1953</v>
      </c>
      <c r="C65" s="25" t="s">
        <v>1954</v>
      </c>
      <c r="D65" s="26">
        <v>0.2908</v>
      </c>
      <c r="E65" s="12"/>
    </row>
    <row r="66" spans="2:5" ht="15" customHeight="1" x14ac:dyDescent="0.25">
      <c r="B66" s="24" t="s">
        <v>1955</v>
      </c>
      <c r="C66" s="25" t="s">
        <v>1956</v>
      </c>
      <c r="D66" s="26">
        <v>0.18390000000000001</v>
      </c>
      <c r="E66" s="12"/>
    </row>
    <row r="67" spans="2:5" ht="15" customHeight="1" x14ac:dyDescent="0.25">
      <c r="B67" s="24" t="s">
        <v>1957</v>
      </c>
      <c r="C67" s="25" t="s">
        <v>1958</v>
      </c>
      <c r="D67" s="26">
        <v>0.27629999999999999</v>
      </c>
      <c r="E67" s="12"/>
    </row>
    <row r="68" spans="2:5" ht="15" customHeight="1" x14ac:dyDescent="0.25">
      <c r="B68" s="24" t="s">
        <v>1959</v>
      </c>
      <c r="C68" s="25" t="s">
        <v>1960</v>
      </c>
      <c r="D68" s="26">
        <v>0.27639999999999998</v>
      </c>
      <c r="E68" s="12"/>
    </row>
    <row r="69" spans="2:5" ht="15" customHeight="1" x14ac:dyDescent="0.25">
      <c r="B69" s="24" t="s">
        <v>1961</v>
      </c>
      <c r="C69" s="25" t="s">
        <v>1962</v>
      </c>
      <c r="D69" s="26">
        <v>0.20399999999999999</v>
      </c>
      <c r="E69" s="12"/>
    </row>
    <row r="70" spans="2:5" ht="15" customHeight="1" x14ac:dyDescent="0.25">
      <c r="B70" s="24" t="s">
        <v>1963</v>
      </c>
      <c r="C70" s="25" t="s">
        <v>1964</v>
      </c>
      <c r="D70" s="26">
        <v>0.2422</v>
      </c>
      <c r="E70" s="12"/>
    </row>
    <row r="71" spans="2:5" ht="15" customHeight="1" x14ac:dyDescent="0.25">
      <c r="B71" s="24" t="s">
        <v>1965</v>
      </c>
      <c r="C71" s="25" t="s">
        <v>1966</v>
      </c>
      <c r="D71" s="26">
        <v>0.1605</v>
      </c>
      <c r="E71" s="12"/>
    </row>
    <row r="72" spans="2:5" ht="15" customHeight="1" x14ac:dyDescent="0.25">
      <c r="B72" s="24" t="s">
        <v>1967</v>
      </c>
      <c r="C72" s="25" t="s">
        <v>1968</v>
      </c>
      <c r="D72" s="26">
        <v>0.1086</v>
      </c>
      <c r="E72" s="12"/>
    </row>
    <row r="73" spans="2:5" ht="15" customHeight="1" x14ac:dyDescent="0.25">
      <c r="B73" s="24" t="s">
        <v>1969</v>
      </c>
      <c r="C73" s="25" t="s">
        <v>1970</v>
      </c>
      <c r="D73" s="26">
        <v>0.22650000000000001</v>
      </c>
      <c r="E73" s="12"/>
    </row>
    <row r="74" spans="2:5" ht="15" customHeight="1" x14ac:dyDescent="0.25">
      <c r="B74" s="24" t="s">
        <v>1971</v>
      </c>
      <c r="C74" s="25" t="s">
        <v>1972</v>
      </c>
      <c r="D74" s="26">
        <v>0.1691</v>
      </c>
      <c r="E74" s="12"/>
    </row>
    <row r="75" spans="2:5" ht="15" customHeight="1" x14ac:dyDescent="0.25">
      <c r="B75" s="24" t="s">
        <v>1973</v>
      </c>
      <c r="C75" s="25" t="s">
        <v>1974</v>
      </c>
      <c r="D75" s="26">
        <v>0.1229</v>
      </c>
      <c r="E75" s="12"/>
    </row>
    <row r="76" spans="2:5" ht="15" customHeight="1" x14ac:dyDescent="0.25">
      <c r="B76" s="24" t="s">
        <v>1975</v>
      </c>
      <c r="C76" s="25" t="s">
        <v>1976</v>
      </c>
      <c r="D76" s="26">
        <v>0.26529999999999998</v>
      </c>
      <c r="E76" s="12"/>
    </row>
    <row r="77" spans="2:5" ht="15" customHeight="1" x14ac:dyDescent="0.25">
      <c r="B77" s="24" t="s">
        <v>1977</v>
      </c>
      <c r="C77" s="25" t="s">
        <v>1978</v>
      </c>
      <c r="D77" s="26">
        <v>0.2077</v>
      </c>
      <c r="E77" s="12"/>
    </row>
    <row r="78" spans="2:5" ht="15" customHeight="1" x14ac:dyDescent="0.25">
      <c r="B78" s="24" t="s">
        <v>1979</v>
      </c>
      <c r="C78" s="25" t="s">
        <v>1980</v>
      </c>
      <c r="D78" s="26">
        <v>0.15509999999999999</v>
      </c>
      <c r="E78" s="12"/>
    </row>
    <row r="79" spans="2:5" ht="15" customHeight="1" x14ac:dyDescent="0.25">
      <c r="B79" s="24" t="s">
        <v>1981</v>
      </c>
      <c r="C79" s="25" t="s">
        <v>1982</v>
      </c>
      <c r="D79" s="26">
        <v>0.1061</v>
      </c>
      <c r="E79" s="12"/>
    </row>
    <row r="80" spans="2:5" ht="15" customHeight="1" x14ac:dyDescent="0.25">
      <c r="B80" s="24" t="s">
        <v>1983</v>
      </c>
      <c r="C80" s="25" t="s">
        <v>1984</v>
      </c>
      <c r="D80" s="26">
        <v>0.30399999999999999</v>
      </c>
      <c r="E80" s="12"/>
    </row>
    <row r="81" spans="2:5" ht="15" customHeight="1" x14ac:dyDescent="0.25">
      <c r="B81" s="24" t="s">
        <v>1985</v>
      </c>
      <c r="C81" s="25" t="s">
        <v>1986</v>
      </c>
      <c r="D81" s="26">
        <v>0.15959999999999999</v>
      </c>
      <c r="E81" s="12"/>
    </row>
    <row r="82" spans="2:5" ht="15" customHeight="1" x14ac:dyDescent="0.25">
      <c r="B82" s="24" t="s">
        <v>1987</v>
      </c>
      <c r="C82" s="25" t="s">
        <v>1988</v>
      </c>
      <c r="D82" s="26">
        <v>0.315</v>
      </c>
      <c r="E82" s="12"/>
    </row>
    <row r="83" spans="2:5" ht="15" customHeight="1" x14ac:dyDescent="0.25">
      <c r="B83" s="24" t="s">
        <v>1989</v>
      </c>
      <c r="C83" s="25" t="s">
        <v>1990</v>
      </c>
      <c r="D83" s="26">
        <v>0.2576</v>
      </c>
      <c r="E83" s="12"/>
    </row>
    <row r="84" spans="2:5" ht="15" customHeight="1" x14ac:dyDescent="0.25">
      <c r="B84" s="24" t="s">
        <v>1991</v>
      </c>
      <c r="C84" s="25" t="s">
        <v>1992</v>
      </c>
      <c r="D84" s="26">
        <v>0.1807</v>
      </c>
      <c r="E84" s="12"/>
    </row>
    <row r="85" spans="2:5" ht="15" customHeight="1" x14ac:dyDescent="0.25">
      <c r="B85" s="24" t="s">
        <v>1993</v>
      </c>
      <c r="C85" s="25" t="s">
        <v>1994</v>
      </c>
      <c r="D85" s="26">
        <v>0.22650000000000001</v>
      </c>
      <c r="E85" s="12"/>
    </row>
    <row r="86" spans="2:5" ht="15" customHeight="1" x14ac:dyDescent="0.25">
      <c r="B86" s="24" t="s">
        <v>1995</v>
      </c>
      <c r="C86" s="25" t="s">
        <v>1996</v>
      </c>
      <c r="D86" s="26">
        <v>0.16950000000000001</v>
      </c>
      <c r="E86" s="12"/>
    </row>
    <row r="87" spans="2:5" ht="15" customHeight="1" x14ac:dyDescent="0.25">
      <c r="B87" s="24" t="s">
        <v>1997</v>
      </c>
      <c r="C87" s="25" t="s">
        <v>1998</v>
      </c>
      <c r="D87" s="26">
        <v>0.12939999999999999</v>
      </c>
      <c r="E87" s="12"/>
    </row>
    <row r="88" spans="2:5" ht="15" customHeight="1" x14ac:dyDescent="0.25">
      <c r="B88" s="24" t="s">
        <v>1999</v>
      </c>
      <c r="C88" s="25" t="s">
        <v>2000</v>
      </c>
      <c r="D88" s="26">
        <v>9.6500000000000002E-2</v>
      </c>
      <c r="E88" s="12"/>
    </row>
    <row r="89" spans="2:5" ht="15" customHeight="1" x14ac:dyDescent="0.25">
      <c r="B89" s="24" t="s">
        <v>2001</v>
      </c>
      <c r="C89" s="25" t="s">
        <v>2002</v>
      </c>
      <c r="D89" s="26">
        <v>0.21290000000000001</v>
      </c>
      <c r="E89" s="12"/>
    </row>
    <row r="90" spans="2:5" ht="15" customHeight="1" x14ac:dyDescent="0.25">
      <c r="B90" s="24" t="s">
        <v>2003</v>
      </c>
      <c r="C90" s="25" t="s">
        <v>2004</v>
      </c>
      <c r="D90" s="26">
        <v>0.1411</v>
      </c>
      <c r="E90" s="12"/>
    </row>
    <row r="91" spans="2:5" ht="15" customHeight="1" x14ac:dyDescent="0.25">
      <c r="B91" s="24" t="s">
        <v>2005</v>
      </c>
      <c r="C91" s="25" t="s">
        <v>2006</v>
      </c>
      <c r="D91" s="26">
        <v>9.6500000000000002E-2</v>
      </c>
      <c r="E91" s="12"/>
    </row>
    <row r="92" spans="2:5" ht="15" customHeight="1" x14ac:dyDescent="0.25">
      <c r="B92" s="24" t="s">
        <v>2007</v>
      </c>
      <c r="C92" s="25" t="s">
        <v>2008</v>
      </c>
      <c r="D92" s="26">
        <v>0.17860000000000001</v>
      </c>
      <c r="E92" s="12"/>
    </row>
    <row r="93" spans="2:5" ht="15" customHeight="1" x14ac:dyDescent="0.25">
      <c r="B93" s="24" t="s">
        <v>2009</v>
      </c>
      <c r="C93" s="25" t="s">
        <v>2010</v>
      </c>
      <c r="D93" s="26">
        <v>0.10539999999999999</v>
      </c>
      <c r="E93" s="12"/>
    </row>
    <row r="94" spans="2:5" ht="15" customHeight="1" x14ac:dyDescent="0.25">
      <c r="B94" s="24" t="s">
        <v>2011</v>
      </c>
      <c r="C94" s="25" t="s">
        <v>2012</v>
      </c>
      <c r="D94" s="26">
        <v>8.2100000000000006E-2</v>
      </c>
      <c r="E94" s="12"/>
    </row>
    <row r="95" spans="2:5" ht="15" customHeight="1" x14ac:dyDescent="0.25">
      <c r="B95" s="24" t="s">
        <v>2013</v>
      </c>
      <c r="C95" s="25" t="s">
        <v>2014</v>
      </c>
      <c r="D95" s="26">
        <v>0.32779999999999998</v>
      </c>
      <c r="E95" s="12"/>
    </row>
    <row r="96" spans="2:5" ht="15" customHeight="1" x14ac:dyDescent="0.25">
      <c r="B96" s="24" t="s">
        <v>2015</v>
      </c>
      <c r="C96" s="25" t="s">
        <v>2016</v>
      </c>
      <c r="D96" s="26">
        <v>0.2606</v>
      </c>
      <c r="E96" s="12"/>
    </row>
    <row r="97" spans="2:5" ht="15" customHeight="1" x14ac:dyDescent="0.25">
      <c r="B97" s="24" t="s">
        <v>2017</v>
      </c>
      <c r="C97" s="25" t="s">
        <v>2018</v>
      </c>
      <c r="D97" s="26">
        <v>0.18190000000000001</v>
      </c>
      <c r="E97" s="12"/>
    </row>
    <row r="98" spans="2:5" ht="15" customHeight="1" x14ac:dyDescent="0.25">
      <c r="B98" s="24" t="s">
        <v>2019</v>
      </c>
      <c r="C98" s="25" t="s">
        <v>2020</v>
      </c>
      <c r="D98" s="26">
        <v>0.29010000000000002</v>
      </c>
      <c r="E98" s="12"/>
    </row>
    <row r="99" spans="2:5" ht="15" customHeight="1" x14ac:dyDescent="0.25">
      <c r="B99" s="24" t="s">
        <v>2021</v>
      </c>
      <c r="C99" s="25" t="s">
        <v>2022</v>
      </c>
      <c r="D99" s="26">
        <v>0.217</v>
      </c>
      <c r="E99" s="12"/>
    </row>
    <row r="100" spans="2:5" ht="15" customHeight="1" x14ac:dyDescent="0.25">
      <c r="B100" s="24" t="s">
        <v>2023</v>
      </c>
      <c r="C100" s="25" t="s">
        <v>2024</v>
      </c>
      <c r="D100" s="26">
        <v>0.15160000000000001</v>
      </c>
      <c r="E100" s="12"/>
    </row>
    <row r="101" spans="2:5" ht="15" customHeight="1" x14ac:dyDescent="0.25">
      <c r="B101" s="24" t="s">
        <v>2025</v>
      </c>
      <c r="C101" s="25" t="s">
        <v>2026</v>
      </c>
      <c r="D101" s="26">
        <v>0.3201</v>
      </c>
      <c r="E101" s="12"/>
    </row>
    <row r="102" spans="2:5" ht="15" customHeight="1" x14ac:dyDescent="0.25">
      <c r="B102" s="24" t="s">
        <v>2027</v>
      </c>
      <c r="C102" s="25" t="s">
        <v>2028</v>
      </c>
      <c r="D102" s="26">
        <v>0.2777</v>
      </c>
      <c r="E102" s="12"/>
    </row>
    <row r="103" spans="2:5" ht="15" customHeight="1" x14ac:dyDescent="0.25">
      <c r="B103" s="24" t="s">
        <v>2029</v>
      </c>
      <c r="C103" s="25" t="s">
        <v>2030</v>
      </c>
      <c r="D103" s="26">
        <v>0.23680000000000001</v>
      </c>
      <c r="E103" s="12"/>
    </row>
    <row r="104" spans="2:5" ht="15" customHeight="1" x14ac:dyDescent="0.25">
      <c r="B104" s="24" t="s">
        <v>2031</v>
      </c>
      <c r="C104" s="25" t="s">
        <v>2032</v>
      </c>
      <c r="D104" s="26">
        <v>0.2271</v>
      </c>
      <c r="E104" s="12"/>
    </row>
    <row r="105" spans="2:5" ht="15" customHeight="1" x14ac:dyDescent="0.25">
      <c r="B105" s="24" t="s">
        <v>2033</v>
      </c>
      <c r="C105" s="25" t="s">
        <v>2034</v>
      </c>
      <c r="D105" s="26">
        <v>0.18010000000000001</v>
      </c>
      <c r="E105" s="12"/>
    </row>
    <row r="106" spans="2:5" ht="15" customHeight="1" x14ac:dyDescent="0.25">
      <c r="B106" s="24" t="s">
        <v>2035</v>
      </c>
      <c r="C106" s="25" t="s">
        <v>2036</v>
      </c>
      <c r="D106" s="26">
        <v>0.24410000000000001</v>
      </c>
      <c r="E106" s="12"/>
    </row>
    <row r="107" spans="2:5" ht="15" customHeight="1" x14ac:dyDescent="0.25">
      <c r="B107" s="24" t="s">
        <v>2037</v>
      </c>
      <c r="C107" s="25" t="s">
        <v>2038</v>
      </c>
      <c r="D107" s="26">
        <v>0.14760000000000001</v>
      </c>
      <c r="E107" s="12"/>
    </row>
    <row r="108" spans="2:5" ht="15" customHeight="1" x14ac:dyDescent="0.25">
      <c r="B108" s="24" t="s">
        <v>2039</v>
      </c>
      <c r="C108" s="25" t="s">
        <v>2040</v>
      </c>
      <c r="D108" s="26">
        <v>0.10059999999999999</v>
      </c>
      <c r="E108" s="12"/>
    </row>
    <row r="109" spans="2:5" ht="15" customHeight="1" x14ac:dyDescent="0.25">
      <c r="B109" s="24" t="s">
        <v>2041</v>
      </c>
      <c r="C109" s="25" t="s">
        <v>2042</v>
      </c>
      <c r="D109" s="26">
        <v>0.21990000000000001</v>
      </c>
      <c r="E109" s="12"/>
    </row>
    <row r="110" spans="2:5" ht="15" customHeight="1" x14ac:dyDescent="0.25">
      <c r="B110" s="24" t="s">
        <v>2043</v>
      </c>
      <c r="C110" s="25" t="s">
        <v>2044</v>
      </c>
      <c r="D110" s="26">
        <v>0.13869999999999999</v>
      </c>
      <c r="E110" s="12"/>
    </row>
    <row r="111" spans="2:5" ht="15" customHeight="1" x14ac:dyDescent="0.25">
      <c r="B111" s="24" t="s">
        <v>2045</v>
      </c>
      <c r="C111" s="25" t="s">
        <v>2046</v>
      </c>
      <c r="D111" s="26">
        <v>0.1628</v>
      </c>
      <c r="E111" s="12"/>
    </row>
    <row r="112" spans="2:5" ht="15" customHeight="1" x14ac:dyDescent="0.25">
      <c r="B112" s="24" t="s">
        <v>2047</v>
      </c>
      <c r="C112" s="25" t="s">
        <v>2048</v>
      </c>
      <c r="D112" s="26">
        <v>0.11310000000000001</v>
      </c>
      <c r="E112" s="12"/>
    </row>
    <row r="113" spans="2:5" ht="15" customHeight="1" x14ac:dyDescent="0.25">
      <c r="B113" s="24" t="s">
        <v>2049</v>
      </c>
      <c r="C113" s="25" t="s">
        <v>2050</v>
      </c>
      <c r="D113" s="26">
        <v>0.18779999999999999</v>
      </c>
      <c r="E113" s="12"/>
    </row>
    <row r="114" spans="2:5" ht="15" customHeight="1" x14ac:dyDescent="0.25">
      <c r="B114" s="24" t="s">
        <v>2051</v>
      </c>
      <c r="C114" s="25" t="s">
        <v>2052</v>
      </c>
      <c r="D114" s="26">
        <v>0.1225</v>
      </c>
      <c r="E114" s="12"/>
    </row>
    <row r="115" spans="2:5" ht="15" customHeight="1" x14ac:dyDescent="0.25">
      <c r="B115" s="24" t="s">
        <v>2053</v>
      </c>
      <c r="C115" s="25" t="s">
        <v>2054</v>
      </c>
      <c r="D115" s="26">
        <v>0.1802</v>
      </c>
      <c r="E115" s="12"/>
    </row>
    <row r="116" spans="2:5" ht="15" customHeight="1" x14ac:dyDescent="0.25">
      <c r="B116" s="24" t="s">
        <v>2055</v>
      </c>
      <c r="C116" s="25" t="s">
        <v>2056</v>
      </c>
      <c r="D116" s="26">
        <v>0.1114</v>
      </c>
      <c r="E116" s="12"/>
    </row>
    <row r="117" spans="2:5" ht="15" customHeight="1" x14ac:dyDescent="0.25">
      <c r="B117" s="24" t="s">
        <v>2057</v>
      </c>
      <c r="C117" s="25" t="s">
        <v>2058</v>
      </c>
      <c r="D117" s="26">
        <v>0.12859999999999999</v>
      </c>
      <c r="E117" s="12"/>
    </row>
    <row r="118" spans="2:5" ht="15" customHeight="1" x14ac:dyDescent="0.25">
      <c r="B118" s="24" t="s">
        <v>2059</v>
      </c>
      <c r="C118" s="25" t="s">
        <v>2060</v>
      </c>
      <c r="D118" s="26">
        <v>8.77E-2</v>
      </c>
      <c r="E118" s="12"/>
    </row>
    <row r="119" spans="2:5" ht="15" customHeight="1" x14ac:dyDescent="0.25">
      <c r="B119" s="24" t="s">
        <v>2061</v>
      </c>
      <c r="C119" s="25" t="s">
        <v>2062</v>
      </c>
      <c r="D119" s="26">
        <v>0.1371</v>
      </c>
      <c r="E119" s="12"/>
    </row>
    <row r="120" spans="2:5" ht="15" customHeight="1" x14ac:dyDescent="0.25">
      <c r="B120" s="24" t="s">
        <v>2063</v>
      </c>
      <c r="C120" s="25" t="s">
        <v>2064</v>
      </c>
      <c r="D120" s="26">
        <v>0.28439999999999999</v>
      </c>
      <c r="E120" s="12"/>
    </row>
    <row r="121" spans="2:5" ht="15" customHeight="1" x14ac:dyDescent="0.25">
      <c r="B121" s="24" t="s">
        <v>2065</v>
      </c>
      <c r="C121" s="25" t="s">
        <v>2066</v>
      </c>
      <c r="D121" s="26">
        <v>0.1477</v>
      </c>
      <c r="E121" s="12"/>
    </row>
    <row r="122" spans="2:5" ht="15" customHeight="1" x14ac:dyDescent="0.25">
      <c r="B122" s="24" t="s">
        <v>2067</v>
      </c>
      <c r="C122" s="25" t="s">
        <v>2068</v>
      </c>
      <c r="D122" s="26">
        <v>0.2276</v>
      </c>
      <c r="E122" s="12"/>
    </row>
    <row r="123" spans="2:5" ht="15" customHeight="1" x14ac:dyDescent="0.25">
      <c r="B123" s="24" t="s">
        <v>2069</v>
      </c>
      <c r="C123" s="25" t="s">
        <v>2070</v>
      </c>
      <c r="D123" s="26">
        <v>0.23769999999999999</v>
      </c>
      <c r="E123" s="12"/>
    </row>
    <row r="124" spans="2:5" ht="15" customHeight="1" x14ac:dyDescent="0.25">
      <c r="B124" s="24" t="s">
        <v>2071</v>
      </c>
      <c r="C124" s="25" t="s">
        <v>2072</v>
      </c>
      <c r="D124" s="26">
        <v>0.13109999999999999</v>
      </c>
      <c r="E124" s="12"/>
    </row>
    <row r="125" spans="2:5" ht="15" customHeight="1" x14ac:dyDescent="0.25">
      <c r="B125" s="24" t="s">
        <v>2073</v>
      </c>
      <c r="C125" s="25" t="s">
        <v>2074</v>
      </c>
      <c r="D125" s="26">
        <v>0.31330000000000002</v>
      </c>
      <c r="E125" s="12"/>
    </row>
    <row r="126" spans="2:5" ht="15" customHeight="1" x14ac:dyDescent="0.25">
      <c r="B126" s="24" t="s">
        <v>2075</v>
      </c>
      <c r="C126" s="25" t="s">
        <v>2076</v>
      </c>
      <c r="D126" s="26">
        <v>0.25779999999999997</v>
      </c>
      <c r="E126" s="12"/>
    </row>
    <row r="127" spans="2:5" ht="15" customHeight="1" x14ac:dyDescent="0.25">
      <c r="B127" s="24" t="s">
        <v>2077</v>
      </c>
      <c r="C127" s="25" t="s">
        <v>2078</v>
      </c>
      <c r="D127" s="26">
        <v>0.14860000000000001</v>
      </c>
      <c r="E127" s="12"/>
    </row>
    <row r="128" spans="2:5" ht="15" customHeight="1" x14ac:dyDescent="0.25">
      <c r="B128" s="24" t="s">
        <v>2079</v>
      </c>
      <c r="C128" s="25" t="s">
        <v>2080</v>
      </c>
      <c r="D128" s="26">
        <v>0.33250000000000002</v>
      </c>
      <c r="E128" s="12"/>
    </row>
    <row r="129" spans="2:5" ht="15" customHeight="1" x14ac:dyDescent="0.25">
      <c r="B129" s="24" t="s">
        <v>2081</v>
      </c>
      <c r="C129" s="25" t="s">
        <v>2082</v>
      </c>
      <c r="D129" s="26">
        <v>0.217</v>
      </c>
      <c r="E129" s="12"/>
    </row>
    <row r="130" spans="2:5" ht="15" customHeight="1" x14ac:dyDescent="0.25">
      <c r="B130" s="24" t="s">
        <v>2083</v>
      </c>
      <c r="C130" s="25" t="s">
        <v>2084</v>
      </c>
      <c r="D130" s="26">
        <v>0.12970000000000001</v>
      </c>
      <c r="E130" s="12"/>
    </row>
    <row r="131" spans="2:5" ht="15" customHeight="1" x14ac:dyDescent="0.25">
      <c r="B131" s="24" t="s">
        <v>2085</v>
      </c>
      <c r="C131" s="25" t="s">
        <v>2086</v>
      </c>
      <c r="D131" s="26">
        <v>9.6500000000000002E-2</v>
      </c>
      <c r="E131" s="12"/>
    </row>
    <row r="132" spans="2:5" ht="15" customHeight="1" x14ac:dyDescent="0.25">
      <c r="B132" s="24" t="s">
        <v>2087</v>
      </c>
      <c r="C132" s="25" t="s">
        <v>2088</v>
      </c>
      <c r="D132" s="26">
        <v>0.3105</v>
      </c>
      <c r="E132" s="12"/>
    </row>
    <row r="133" spans="2:5" ht="15" customHeight="1" x14ac:dyDescent="0.25">
      <c r="B133" s="24" t="s">
        <v>2089</v>
      </c>
      <c r="C133" s="25" t="s">
        <v>2090</v>
      </c>
      <c r="D133" s="26">
        <v>0.20899999999999999</v>
      </c>
      <c r="E133" s="12"/>
    </row>
    <row r="134" spans="2:5" ht="15" customHeight="1" x14ac:dyDescent="0.25">
      <c r="B134" s="24" t="s">
        <v>2091</v>
      </c>
      <c r="C134" s="25" t="s">
        <v>2092</v>
      </c>
      <c r="D134" s="26">
        <v>0.121</v>
      </c>
      <c r="E134" s="12"/>
    </row>
    <row r="135" spans="2:5" ht="15" customHeight="1" x14ac:dyDescent="0.25">
      <c r="B135" s="24" t="s">
        <v>2093</v>
      </c>
      <c r="C135" s="25" t="s">
        <v>2094</v>
      </c>
      <c r="D135" s="26">
        <v>0.1799</v>
      </c>
      <c r="E135" s="12"/>
    </row>
    <row r="136" spans="2:5" ht="15" customHeight="1" x14ac:dyDescent="0.25">
      <c r="B136" s="24" t="s">
        <v>2095</v>
      </c>
      <c r="C136" s="25" t="s">
        <v>2096</v>
      </c>
      <c r="D136" s="26">
        <v>8.9899999999999994E-2</v>
      </c>
      <c r="E136" s="12"/>
    </row>
    <row r="137" spans="2:5" ht="15" customHeight="1" x14ac:dyDescent="0.25">
      <c r="B137" s="24" t="s">
        <v>2097</v>
      </c>
      <c r="C137" s="25" t="s">
        <v>2098</v>
      </c>
      <c r="D137" s="26">
        <v>0.28289999999999998</v>
      </c>
      <c r="E137" s="12"/>
    </row>
    <row r="138" spans="2:5" ht="15" customHeight="1" x14ac:dyDescent="0.25">
      <c r="B138" s="24" t="s">
        <v>2099</v>
      </c>
      <c r="C138" s="25" t="s">
        <v>2100</v>
      </c>
      <c r="D138" s="26">
        <v>0.2026</v>
      </c>
      <c r="E138" s="12"/>
    </row>
    <row r="139" spans="2:5" ht="15" customHeight="1" x14ac:dyDescent="0.25">
      <c r="B139" s="24" t="s">
        <v>2101</v>
      </c>
      <c r="C139" s="25" t="s">
        <v>2102</v>
      </c>
      <c r="D139" s="26">
        <v>0.14399999999999999</v>
      </c>
      <c r="E139" s="12"/>
    </row>
    <row r="140" spans="2:5" ht="15" customHeight="1" x14ac:dyDescent="0.25">
      <c r="B140" s="24" t="s">
        <v>2103</v>
      </c>
      <c r="C140" s="25" t="s">
        <v>2104</v>
      </c>
      <c r="D140" s="26">
        <v>0.38590000000000002</v>
      </c>
      <c r="E140" s="12"/>
    </row>
    <row r="141" spans="2:5" ht="15" customHeight="1" x14ac:dyDescent="0.25">
      <c r="B141" s="24" t="s">
        <v>2105</v>
      </c>
      <c r="C141" s="25" t="s">
        <v>2106</v>
      </c>
      <c r="D141" s="26">
        <v>0.27710000000000001</v>
      </c>
      <c r="E141" s="12"/>
    </row>
    <row r="142" spans="2:5" ht="15" customHeight="1" x14ac:dyDescent="0.25">
      <c r="B142" s="24" t="s">
        <v>2107</v>
      </c>
      <c r="C142" s="25" t="s">
        <v>2108</v>
      </c>
      <c r="D142" s="26">
        <v>0.18940000000000001</v>
      </c>
      <c r="E142" s="12"/>
    </row>
    <row r="143" spans="2:5" ht="15" customHeight="1" x14ac:dyDescent="0.25">
      <c r="B143" s="24" t="s">
        <v>2109</v>
      </c>
      <c r="C143" s="25" t="s">
        <v>2110</v>
      </c>
      <c r="D143" s="26">
        <v>0.24179999999999999</v>
      </c>
      <c r="E143" s="12"/>
    </row>
    <row r="144" spans="2:5" ht="15" customHeight="1" x14ac:dyDescent="0.25">
      <c r="B144" s="24" t="s">
        <v>2111</v>
      </c>
      <c r="C144" s="25" t="s">
        <v>2112</v>
      </c>
      <c r="D144" s="26">
        <v>0.1671</v>
      </c>
      <c r="E144" s="12"/>
    </row>
    <row r="145" spans="2:5" ht="15" customHeight="1" x14ac:dyDescent="0.25">
      <c r="B145" s="24" t="s">
        <v>2113</v>
      </c>
      <c r="C145" s="25" t="s">
        <v>2114</v>
      </c>
      <c r="D145" s="26">
        <v>0.12529999999999999</v>
      </c>
      <c r="E145" s="12"/>
    </row>
    <row r="146" spans="2:5" ht="15" customHeight="1" x14ac:dyDescent="0.25">
      <c r="B146" s="24" t="s">
        <v>2115</v>
      </c>
      <c r="C146" s="25" t="s">
        <v>2116</v>
      </c>
      <c r="D146" s="26">
        <v>0.52700000000000002</v>
      </c>
      <c r="E146" s="12"/>
    </row>
    <row r="147" spans="2:5" ht="15" customHeight="1" x14ac:dyDescent="0.25">
      <c r="B147" s="24" t="s">
        <v>2117</v>
      </c>
      <c r="C147" s="25" t="s">
        <v>2118</v>
      </c>
      <c r="D147" s="26">
        <v>0.35360000000000003</v>
      </c>
      <c r="E147" s="12"/>
    </row>
    <row r="148" spans="2:5" ht="15" customHeight="1" x14ac:dyDescent="0.25">
      <c r="B148" s="24" t="s">
        <v>2119</v>
      </c>
      <c r="C148" s="25" t="s">
        <v>2120</v>
      </c>
      <c r="D148" s="26">
        <v>0.20979999999999999</v>
      </c>
      <c r="E148" s="12"/>
    </row>
    <row r="149" spans="2:5" ht="15" customHeight="1" x14ac:dyDescent="0.25">
      <c r="B149" s="24" t="s">
        <v>2121</v>
      </c>
      <c r="C149" s="25" t="s">
        <v>2122</v>
      </c>
      <c r="D149" s="26">
        <v>0.1075</v>
      </c>
      <c r="E149" s="12"/>
    </row>
    <row r="150" spans="2:5" ht="15" customHeight="1" x14ac:dyDescent="0.25">
      <c r="B150" s="24" t="s">
        <v>2123</v>
      </c>
      <c r="C150" s="25" t="s">
        <v>2124</v>
      </c>
      <c r="D150" s="26">
        <v>0.3392</v>
      </c>
      <c r="E150" s="12"/>
    </row>
    <row r="151" spans="2:5" ht="15" customHeight="1" x14ac:dyDescent="0.25">
      <c r="B151" s="24" t="s">
        <v>2125</v>
      </c>
      <c r="C151" s="25" t="s">
        <v>2126</v>
      </c>
      <c r="D151" s="26">
        <v>0.2611</v>
      </c>
      <c r="E151" s="12"/>
    </row>
    <row r="152" spans="2:5" ht="15" customHeight="1" x14ac:dyDescent="0.25">
      <c r="B152" s="24" t="s">
        <v>2127</v>
      </c>
      <c r="C152" s="25" t="s">
        <v>2128</v>
      </c>
      <c r="D152" s="26">
        <v>0.28079999999999999</v>
      </c>
      <c r="E152" s="12"/>
    </row>
    <row r="153" spans="2:5" ht="15" customHeight="1" x14ac:dyDescent="0.25">
      <c r="B153" s="24" t="s">
        <v>2129</v>
      </c>
      <c r="C153" s="25" t="s">
        <v>2130</v>
      </c>
      <c r="D153" s="26">
        <v>0.1532</v>
      </c>
      <c r="E153" s="12"/>
    </row>
    <row r="154" spans="2:5" ht="15" customHeight="1" x14ac:dyDescent="0.25">
      <c r="B154" s="24" t="s">
        <v>2131</v>
      </c>
      <c r="C154" s="25" t="s">
        <v>2132</v>
      </c>
      <c r="D154" s="26">
        <v>9.64E-2</v>
      </c>
      <c r="E154" s="12"/>
    </row>
    <row r="155" spans="2:5" ht="15" customHeight="1" x14ac:dyDescent="0.25">
      <c r="B155" s="24" t="s">
        <v>2133</v>
      </c>
      <c r="C155" s="25" t="s">
        <v>2134</v>
      </c>
      <c r="D155" s="26">
        <v>0.25569999999999998</v>
      </c>
      <c r="E155" s="12"/>
    </row>
    <row r="156" spans="2:5" ht="15" customHeight="1" x14ac:dyDescent="0.25">
      <c r="B156" s="24" t="s">
        <v>2135</v>
      </c>
      <c r="C156" s="25" t="s">
        <v>2136</v>
      </c>
      <c r="D156" s="26">
        <v>0.15740000000000001</v>
      </c>
      <c r="E156" s="12"/>
    </row>
    <row r="157" spans="2:5" ht="15" customHeight="1" x14ac:dyDescent="0.25">
      <c r="B157" s="24" t="s">
        <v>2137</v>
      </c>
      <c r="C157" s="25" t="s">
        <v>2138</v>
      </c>
      <c r="D157" s="26">
        <v>0.10249999999999999</v>
      </c>
      <c r="E157" s="12"/>
    </row>
    <row r="158" spans="2:5" ht="15" customHeight="1" x14ac:dyDescent="0.25">
      <c r="B158" s="24" t="s">
        <v>2139</v>
      </c>
      <c r="C158" s="25" t="s">
        <v>2140</v>
      </c>
      <c r="D158" s="26">
        <v>8.2000000000000003E-2</v>
      </c>
      <c r="E158" s="12"/>
    </row>
    <row r="159" spans="2:5" ht="15" customHeight="1" x14ac:dyDescent="0.25">
      <c r="B159" s="24" t="s">
        <v>2141</v>
      </c>
      <c r="C159" s="25" t="s">
        <v>2142</v>
      </c>
      <c r="D159" s="26">
        <v>0.25600000000000001</v>
      </c>
      <c r="E159" s="12"/>
    </row>
    <row r="160" spans="2:5" ht="15" customHeight="1" x14ac:dyDescent="0.25">
      <c r="B160" s="24" t="s">
        <v>2143</v>
      </c>
      <c r="C160" s="25" t="s">
        <v>2144</v>
      </c>
      <c r="D160" s="26">
        <v>0.1414</v>
      </c>
      <c r="E160" s="12"/>
    </row>
    <row r="161" spans="2:5" ht="15" customHeight="1" x14ac:dyDescent="0.25">
      <c r="B161" s="24" t="s">
        <v>2145</v>
      </c>
      <c r="C161" s="25" t="s">
        <v>2146</v>
      </c>
      <c r="D161" s="26">
        <v>8.9899999999999994E-2</v>
      </c>
      <c r="E161" s="12"/>
    </row>
    <row r="162" spans="2:5" ht="15" customHeight="1" x14ac:dyDescent="0.25">
      <c r="B162" s="24" t="s">
        <v>2147</v>
      </c>
      <c r="C162" s="25" t="s">
        <v>2148</v>
      </c>
      <c r="D162" s="26">
        <v>0.2261</v>
      </c>
      <c r="E162" s="12"/>
    </row>
    <row r="163" spans="2:5" ht="15" customHeight="1" x14ac:dyDescent="0.25">
      <c r="B163" s="24" t="s">
        <v>2149</v>
      </c>
      <c r="C163" s="25" t="s">
        <v>2150</v>
      </c>
      <c r="D163" s="26">
        <v>0.13500000000000001</v>
      </c>
      <c r="E163" s="12"/>
    </row>
    <row r="164" spans="2:5" ht="15" customHeight="1" x14ac:dyDescent="0.25">
      <c r="B164" s="24" t="s">
        <v>2151</v>
      </c>
      <c r="C164" s="25" t="s">
        <v>2152</v>
      </c>
      <c r="D164" s="26">
        <v>8.1299999999999997E-2</v>
      </c>
      <c r="E164" s="12"/>
    </row>
    <row r="165" spans="2:5" ht="15" customHeight="1" x14ac:dyDescent="0.25">
      <c r="B165" s="24" t="s">
        <v>2153</v>
      </c>
      <c r="C165" s="25" t="s">
        <v>2154</v>
      </c>
      <c r="D165" s="26">
        <v>0.27560000000000001</v>
      </c>
      <c r="E165" s="12"/>
    </row>
    <row r="166" spans="2:5" ht="15" customHeight="1" x14ac:dyDescent="0.25">
      <c r="B166" s="24" t="s">
        <v>2155</v>
      </c>
      <c r="C166" s="25" t="s">
        <v>2156</v>
      </c>
      <c r="D166" s="26">
        <v>0.20100000000000001</v>
      </c>
      <c r="E166" s="12"/>
    </row>
    <row r="167" spans="2:5" ht="15" customHeight="1" x14ac:dyDescent="0.25">
      <c r="B167" s="24" t="s">
        <v>2157</v>
      </c>
      <c r="C167" s="25" t="s">
        <v>2158</v>
      </c>
      <c r="D167" s="26">
        <v>0.1241</v>
      </c>
      <c r="E167" s="12"/>
    </row>
    <row r="168" spans="2:5" ht="15" customHeight="1" x14ac:dyDescent="0.25">
      <c r="B168" s="24" t="s">
        <v>2159</v>
      </c>
      <c r="C168" s="25" t="s">
        <v>2160</v>
      </c>
      <c r="D168" s="26">
        <v>0.15609999999999999</v>
      </c>
      <c r="E168" s="12"/>
    </row>
    <row r="169" spans="2:5" ht="15" customHeight="1" x14ac:dyDescent="0.25">
      <c r="B169" s="24" t="s">
        <v>2161</v>
      </c>
      <c r="C169" s="25" t="s">
        <v>2162</v>
      </c>
      <c r="D169" s="26">
        <v>9.5000000000000001E-2</v>
      </c>
      <c r="E169" s="12"/>
    </row>
    <row r="170" spans="2:5" ht="15" customHeight="1" x14ac:dyDescent="0.25">
      <c r="B170" s="24" t="s">
        <v>2163</v>
      </c>
      <c r="C170" s="25" t="s">
        <v>2164</v>
      </c>
      <c r="D170" s="26">
        <v>0.1903</v>
      </c>
      <c r="E170" s="12"/>
    </row>
    <row r="171" spans="2:5" ht="15" customHeight="1" x14ac:dyDescent="0.25">
      <c r="B171" s="24" t="s">
        <v>2165</v>
      </c>
      <c r="C171" s="25" t="s">
        <v>2166</v>
      </c>
      <c r="D171" s="26">
        <v>9.8100000000000007E-2</v>
      </c>
      <c r="E171" s="12"/>
    </row>
    <row r="172" spans="2:5" ht="15" customHeight="1" x14ac:dyDescent="0.25">
      <c r="B172" s="24" t="s">
        <v>2167</v>
      </c>
      <c r="C172" s="25" t="s">
        <v>2168</v>
      </c>
      <c r="D172" s="26">
        <v>0.1983</v>
      </c>
      <c r="E172" s="12"/>
    </row>
    <row r="173" spans="2:5" ht="15" customHeight="1" x14ac:dyDescent="0.25">
      <c r="B173" s="24" t="s">
        <v>2169</v>
      </c>
      <c r="C173" s="25" t="s">
        <v>2170</v>
      </c>
      <c r="D173" s="26">
        <v>0.1057</v>
      </c>
      <c r="E173" s="12"/>
    </row>
    <row r="174" spans="2:5" ht="15" customHeight="1" x14ac:dyDescent="0.25">
      <c r="B174" s="24" t="s">
        <v>2171</v>
      </c>
      <c r="C174" s="25" t="s">
        <v>2172</v>
      </c>
      <c r="D174" s="26">
        <v>0.23699999999999999</v>
      </c>
      <c r="E174" s="12"/>
    </row>
    <row r="175" spans="2:5" ht="15" customHeight="1" x14ac:dyDescent="0.25">
      <c r="B175" s="24" t="s">
        <v>2173</v>
      </c>
      <c r="C175" s="25" t="s">
        <v>2174</v>
      </c>
      <c r="D175" s="26">
        <v>0.15440000000000001</v>
      </c>
      <c r="E175" s="12"/>
    </row>
    <row r="176" spans="2:5" ht="15" customHeight="1" x14ac:dyDescent="0.25">
      <c r="B176" s="24" t="s">
        <v>2175</v>
      </c>
      <c r="C176" s="25" t="s">
        <v>2176</v>
      </c>
      <c r="D176" s="26">
        <v>8.5800000000000001E-2</v>
      </c>
      <c r="E176" s="12"/>
    </row>
    <row r="177" spans="2:5" ht="15" customHeight="1" x14ac:dyDescent="0.25">
      <c r="B177" s="24" t="s">
        <v>2177</v>
      </c>
      <c r="C177" s="25" t="s">
        <v>2178</v>
      </c>
      <c r="D177" s="26">
        <v>0.26769999999999999</v>
      </c>
      <c r="E177" s="12"/>
    </row>
    <row r="178" spans="2:5" ht="15" customHeight="1" x14ac:dyDescent="0.25">
      <c r="B178" s="24" t="s">
        <v>2179</v>
      </c>
      <c r="C178" s="25" t="s">
        <v>2180</v>
      </c>
      <c r="D178" s="26">
        <v>0.12839999999999999</v>
      </c>
      <c r="E178" s="12"/>
    </row>
    <row r="179" spans="2:5" ht="15" customHeight="1" x14ac:dyDescent="0.25">
      <c r="B179" s="24" t="s">
        <v>2181</v>
      </c>
      <c r="C179" s="25" t="s">
        <v>2182</v>
      </c>
      <c r="D179" s="26">
        <v>6.4399999999999999E-2</v>
      </c>
      <c r="E179" s="12"/>
    </row>
    <row r="180" spans="2:5" ht="15" customHeight="1" x14ac:dyDescent="0.25">
      <c r="B180" s="24" t="s">
        <v>2183</v>
      </c>
      <c r="C180" s="25" t="s">
        <v>2184</v>
      </c>
      <c r="D180" s="26">
        <v>0.23350000000000001</v>
      </c>
      <c r="E180" s="12"/>
    </row>
    <row r="181" spans="2:5" ht="15" customHeight="1" x14ac:dyDescent="0.25">
      <c r="B181" s="24" t="s">
        <v>2185</v>
      </c>
      <c r="C181" s="25" t="s">
        <v>2186</v>
      </c>
      <c r="D181" s="26">
        <v>0.1497</v>
      </c>
      <c r="E181" s="12"/>
    </row>
    <row r="182" spans="2:5" ht="15" customHeight="1" x14ac:dyDescent="0.25">
      <c r="B182" s="24" t="s">
        <v>2187</v>
      </c>
      <c r="C182" s="25" t="s">
        <v>2188</v>
      </c>
      <c r="D182" s="26">
        <v>0.1389</v>
      </c>
      <c r="E182" s="12"/>
    </row>
    <row r="183" spans="2:5" ht="15" customHeight="1" x14ac:dyDescent="0.25">
      <c r="B183" s="24" t="s">
        <v>2189</v>
      </c>
      <c r="C183" s="25" t="s">
        <v>2190</v>
      </c>
      <c r="D183" s="26">
        <v>7.5700000000000003E-2</v>
      </c>
      <c r="E183" s="12"/>
    </row>
  </sheetData>
  <pageMargins left="0.7" right="0.7" top="0.75" bottom="0.75" header="0.3" footer="0.3"/>
  <pageSetup paperSize="9" scale="2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  <pageSetUpPr fitToPage="1"/>
  </sheetPr>
  <dimension ref="B1:D23"/>
  <sheetViews>
    <sheetView showGridLines="0" workbookViewId="0"/>
  </sheetViews>
  <sheetFormatPr defaultRowHeight="15" customHeight="1" x14ac:dyDescent="0.25"/>
  <cols>
    <col min="1" max="1" width="2.7109375" customWidth="1"/>
    <col min="2" max="2" width="14.5703125" customWidth="1"/>
    <col min="3" max="3" width="39.7109375" bestFit="1" customWidth="1"/>
    <col min="4" max="4" width="17.5703125" customWidth="1"/>
  </cols>
  <sheetData>
    <row r="1" spans="2:4" ht="20.100000000000001" customHeight="1" x14ac:dyDescent="0.25"/>
    <row r="2" spans="2:4" ht="20.100000000000001" customHeight="1" x14ac:dyDescent="0.3">
      <c r="B2" s="30" t="s">
        <v>51</v>
      </c>
      <c r="C2" s="12"/>
      <c r="D2" s="12"/>
    </row>
    <row r="3" spans="2:4" ht="20.100000000000001" customHeight="1" x14ac:dyDescent="0.25">
      <c r="B3" s="3"/>
      <c r="C3" s="20"/>
      <c r="D3" s="20"/>
    </row>
    <row r="4" spans="2:4" ht="20.100000000000001" customHeight="1" x14ac:dyDescent="0.25">
      <c r="B4" s="4" t="s">
        <v>22</v>
      </c>
      <c r="C4" s="20"/>
      <c r="D4" s="20"/>
    </row>
    <row r="5" spans="2:4" ht="20.100000000000001" customHeight="1" x14ac:dyDescent="0.25">
      <c r="B5" s="5"/>
      <c r="C5" s="20"/>
      <c r="D5" s="20"/>
    </row>
    <row r="6" spans="2:4" ht="36" customHeight="1" x14ac:dyDescent="0.25">
      <c r="B6" s="43" t="s">
        <v>23</v>
      </c>
      <c r="C6" s="43" t="s">
        <v>2</v>
      </c>
      <c r="D6" s="43" t="s">
        <v>21</v>
      </c>
    </row>
    <row r="7" spans="2:4" ht="15" customHeight="1" x14ac:dyDescent="0.25">
      <c r="B7" s="27" t="s">
        <v>2191</v>
      </c>
      <c r="C7" s="28" t="s">
        <v>2192</v>
      </c>
      <c r="D7" s="26">
        <v>0.379</v>
      </c>
    </row>
    <row r="8" spans="2:4" ht="15" customHeight="1" x14ac:dyDescent="0.25">
      <c r="B8" s="27" t="s">
        <v>2193</v>
      </c>
      <c r="C8" s="28" t="s">
        <v>2194</v>
      </c>
      <c r="D8" s="26">
        <v>0.26860000000000001</v>
      </c>
    </row>
    <row r="9" spans="2:4" ht="15" customHeight="1" x14ac:dyDescent="0.25">
      <c r="B9" s="27" t="s">
        <v>2195</v>
      </c>
      <c r="C9" s="28" t="s">
        <v>2196</v>
      </c>
      <c r="D9" s="26">
        <v>0.22359999999999999</v>
      </c>
    </row>
    <row r="10" spans="2:4" ht="15" customHeight="1" x14ac:dyDescent="0.25">
      <c r="B10" s="27" t="s">
        <v>2197</v>
      </c>
      <c r="C10" s="28" t="s">
        <v>2198</v>
      </c>
      <c r="D10" s="26">
        <v>0.1799</v>
      </c>
    </row>
    <row r="11" spans="2:4" ht="15" customHeight="1" x14ac:dyDescent="0.25">
      <c r="B11" s="27" t="s">
        <v>2199</v>
      </c>
      <c r="C11" s="28" t="s">
        <v>2200</v>
      </c>
      <c r="D11" s="26">
        <v>0.12859999999999999</v>
      </c>
    </row>
    <row r="12" spans="2:4" ht="15" customHeight="1" x14ac:dyDescent="0.25">
      <c r="B12" s="27" t="s">
        <v>2201</v>
      </c>
      <c r="C12" s="28" t="s">
        <v>2202</v>
      </c>
      <c r="D12" s="26">
        <v>0.3473</v>
      </c>
    </row>
    <row r="13" spans="2:4" ht="15" customHeight="1" x14ac:dyDescent="0.25">
      <c r="B13" s="27" t="s">
        <v>2203</v>
      </c>
      <c r="C13" s="28" t="s">
        <v>2204</v>
      </c>
      <c r="D13" s="26">
        <v>0.19009999999999999</v>
      </c>
    </row>
    <row r="14" spans="2:4" ht="15" customHeight="1" x14ac:dyDescent="0.25">
      <c r="B14" s="27" t="s">
        <v>2205</v>
      </c>
      <c r="C14" s="28" t="s">
        <v>2206</v>
      </c>
      <c r="D14" s="26">
        <v>0.13919999999999999</v>
      </c>
    </row>
    <row r="15" spans="2:4" ht="15" customHeight="1" x14ac:dyDescent="0.25">
      <c r="B15" s="27" t="s">
        <v>2207</v>
      </c>
      <c r="C15" s="28" t="s">
        <v>2208</v>
      </c>
      <c r="D15" s="26">
        <v>9.9699999999999997E-2</v>
      </c>
    </row>
    <row r="16" spans="2:4" ht="15" customHeight="1" x14ac:dyDescent="0.25">
      <c r="B16" s="27" t="s">
        <v>2209</v>
      </c>
      <c r="C16" s="28" t="s">
        <v>2210</v>
      </c>
      <c r="D16" s="26">
        <v>7.6100000000000001E-2</v>
      </c>
    </row>
    <row r="17" spans="2:4" ht="15" customHeight="1" x14ac:dyDescent="0.25">
      <c r="B17" s="27" t="s">
        <v>2211</v>
      </c>
      <c r="C17" s="28" t="s">
        <v>2212</v>
      </c>
      <c r="D17" s="26">
        <v>3.5200000000000002E-2</v>
      </c>
    </row>
    <row r="18" spans="2:4" ht="15" customHeight="1" x14ac:dyDescent="0.25">
      <c r="B18" s="27" t="s">
        <v>2213</v>
      </c>
      <c r="C18" s="28" t="s">
        <v>2214</v>
      </c>
      <c r="D18" s="26">
        <v>7.6300000000000007E-2</v>
      </c>
    </row>
    <row r="19" spans="2:4" ht="15" customHeight="1" x14ac:dyDescent="0.25">
      <c r="B19" s="27" t="s">
        <v>2215</v>
      </c>
      <c r="C19" s="28" t="s">
        <v>2216</v>
      </c>
      <c r="D19" s="26">
        <v>0.3468</v>
      </c>
    </row>
    <row r="20" spans="2:4" ht="15" customHeight="1" x14ac:dyDescent="0.25">
      <c r="B20" s="27" t="s">
        <v>2217</v>
      </c>
      <c r="C20" s="28" t="s">
        <v>2218</v>
      </c>
      <c r="D20" s="26">
        <v>0.31459999999999999</v>
      </c>
    </row>
    <row r="21" spans="2:4" ht="15" customHeight="1" x14ac:dyDescent="0.25">
      <c r="B21" s="27" t="s">
        <v>2219</v>
      </c>
      <c r="C21" s="28" t="s">
        <v>2220</v>
      </c>
      <c r="D21" s="26">
        <v>0.14299999999999999</v>
      </c>
    </row>
    <row r="22" spans="2:4" ht="15" customHeight="1" x14ac:dyDescent="0.25">
      <c r="B22" s="27" t="s">
        <v>2221</v>
      </c>
      <c r="C22" s="28" t="s">
        <v>2222</v>
      </c>
      <c r="D22" s="26">
        <v>0.1203</v>
      </c>
    </row>
    <row r="23" spans="2:4" ht="15" customHeight="1" x14ac:dyDescent="0.25">
      <c r="B23" s="27" t="s">
        <v>2223</v>
      </c>
      <c r="C23" s="28" t="s">
        <v>2224</v>
      </c>
      <c r="D23" s="26">
        <v>8.6599999999999996E-2</v>
      </c>
    </row>
  </sheetData>
  <pageMargins left="0.7" right="0.7" top="0.75" bottom="0.75" header="0.3" footer="0.3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  <pageSetUpPr fitToPage="1"/>
  </sheetPr>
  <dimension ref="B1:E28"/>
  <sheetViews>
    <sheetView showGridLines="0" workbookViewId="0"/>
  </sheetViews>
  <sheetFormatPr defaultRowHeight="15" customHeight="1" x14ac:dyDescent="0.25"/>
  <cols>
    <col min="1" max="1" width="2.7109375" customWidth="1"/>
    <col min="2" max="2" width="59.140625" customWidth="1"/>
    <col min="3" max="3" width="10.5703125" customWidth="1"/>
    <col min="4" max="4" width="13.85546875" customWidth="1"/>
    <col min="5" max="5" width="13.140625" customWidth="1"/>
  </cols>
  <sheetData>
    <row r="1" spans="2:5" ht="20.100000000000001" customHeight="1" x14ac:dyDescent="0.25"/>
    <row r="2" spans="2:5" ht="20.100000000000001" customHeight="1" x14ac:dyDescent="0.3">
      <c r="B2" s="30" t="s">
        <v>52</v>
      </c>
      <c r="C2" s="12"/>
      <c r="D2" s="12"/>
      <c r="E2" s="12"/>
    </row>
    <row r="3" spans="2:5" ht="20.100000000000001" customHeight="1" x14ac:dyDescent="0.25">
      <c r="B3" s="3"/>
      <c r="C3" s="20"/>
      <c r="D3" s="20"/>
      <c r="E3" s="20"/>
    </row>
    <row r="4" spans="2:5" ht="20.100000000000001" customHeight="1" x14ac:dyDescent="0.25">
      <c r="B4" s="4" t="s">
        <v>36</v>
      </c>
      <c r="C4" s="20"/>
      <c r="D4" s="20"/>
      <c r="E4" s="20"/>
    </row>
    <row r="5" spans="2:5" ht="20.100000000000001" customHeight="1" x14ac:dyDescent="0.25">
      <c r="B5" s="5"/>
      <c r="C5" s="20"/>
      <c r="D5" s="20"/>
      <c r="E5" s="20"/>
    </row>
    <row r="6" spans="2:5" ht="15" customHeight="1" x14ac:dyDescent="0.25">
      <c r="B6" s="66" t="s">
        <v>24</v>
      </c>
      <c r="C6" s="63" t="s">
        <v>31</v>
      </c>
      <c r="D6" s="67"/>
      <c r="E6" s="68"/>
    </row>
    <row r="7" spans="2:5" ht="36" customHeight="1" x14ac:dyDescent="0.25">
      <c r="B7" s="66"/>
      <c r="C7" s="44" t="s">
        <v>26</v>
      </c>
      <c r="D7" s="44" t="s">
        <v>27</v>
      </c>
      <c r="E7" s="44" t="s">
        <v>28</v>
      </c>
    </row>
    <row r="8" spans="2:5" ht="15" customHeight="1" x14ac:dyDescent="0.25">
      <c r="B8" s="36" t="s">
        <v>2566</v>
      </c>
      <c r="C8" s="29">
        <v>0.14299999999999999</v>
      </c>
      <c r="D8" s="29">
        <v>0.104</v>
      </c>
      <c r="E8" s="29">
        <v>9.1999999999999998E-2</v>
      </c>
    </row>
    <row r="9" spans="2:5" ht="15" customHeight="1" x14ac:dyDescent="0.25">
      <c r="B9" s="36" t="s">
        <v>2578</v>
      </c>
      <c r="C9" s="29">
        <v>3.5999999999999997E-2</v>
      </c>
      <c r="D9" s="29">
        <v>1.9E-2</v>
      </c>
      <c r="E9" s="29">
        <v>1.0999999999999999E-2</v>
      </c>
    </row>
    <row r="10" spans="2:5" ht="15" customHeight="1" x14ac:dyDescent="0.25">
      <c r="B10" s="36" t="s">
        <v>2579</v>
      </c>
      <c r="C10" s="29">
        <v>8.7999999999999995E-2</v>
      </c>
      <c r="D10" s="29">
        <v>2.5000000000000001E-2</v>
      </c>
      <c r="E10" s="29">
        <v>1.7999999999999999E-2</v>
      </c>
    </row>
    <row r="11" spans="2:5" ht="15" customHeight="1" x14ac:dyDescent="0.25">
      <c r="B11" s="36" t="s">
        <v>2580</v>
      </c>
      <c r="C11" s="29">
        <v>0.11899999999999999</v>
      </c>
      <c r="D11" s="29">
        <v>6.6000000000000003E-2</v>
      </c>
      <c r="E11" s="29">
        <v>5.3999999999999999E-2</v>
      </c>
    </row>
    <row r="12" spans="2:5" ht="15" customHeight="1" x14ac:dyDescent="0.25">
      <c r="B12" s="37" t="s">
        <v>2581</v>
      </c>
      <c r="C12" s="29" t="s">
        <v>2582</v>
      </c>
      <c r="D12" s="29" t="s">
        <v>2582</v>
      </c>
      <c r="E12" s="29" t="s">
        <v>2582</v>
      </c>
    </row>
    <row r="13" spans="2:5" ht="15" customHeight="1" x14ac:dyDescent="0.25">
      <c r="B13" s="36" t="s">
        <v>2583</v>
      </c>
      <c r="C13" s="29">
        <v>0.14099999999999999</v>
      </c>
      <c r="D13" s="29">
        <v>6.9000000000000006E-2</v>
      </c>
      <c r="E13" s="29">
        <v>3.5999999999999997E-2</v>
      </c>
    </row>
    <row r="14" spans="2:5" ht="15" customHeight="1" x14ac:dyDescent="0.25">
      <c r="B14" s="36" t="s">
        <v>2584</v>
      </c>
      <c r="C14" s="29">
        <v>0.121</v>
      </c>
      <c r="D14" s="29">
        <v>7.1999999999999995E-2</v>
      </c>
      <c r="E14" s="29">
        <v>5.0999999999999997E-2</v>
      </c>
    </row>
    <row r="15" spans="2:5" ht="15" customHeight="1" x14ac:dyDescent="0.25">
      <c r="B15" s="36" t="s">
        <v>2585</v>
      </c>
      <c r="C15" s="29">
        <v>0.20399999999999999</v>
      </c>
      <c r="D15" s="29">
        <v>0.128</v>
      </c>
      <c r="E15" s="29">
        <v>8.4000000000000005E-2</v>
      </c>
    </row>
    <row r="16" spans="2:5" ht="15" customHeight="1" x14ac:dyDescent="0.25">
      <c r="B16" s="36" t="s">
        <v>2586</v>
      </c>
      <c r="C16" s="29">
        <v>9.9000000000000005E-2</v>
      </c>
      <c r="D16" s="29">
        <v>0.08</v>
      </c>
      <c r="E16" s="29">
        <v>7.5999999999999998E-2</v>
      </c>
    </row>
    <row r="17" spans="2:5" ht="15" customHeight="1" x14ac:dyDescent="0.25">
      <c r="B17" s="36" t="s">
        <v>2587</v>
      </c>
      <c r="C17" s="29">
        <v>0.108</v>
      </c>
      <c r="D17" s="29">
        <v>0.08</v>
      </c>
      <c r="E17" s="29">
        <v>7.0999999999999994E-2</v>
      </c>
    </row>
    <row r="18" spans="2:5" ht="15" customHeight="1" x14ac:dyDescent="0.25">
      <c r="B18" s="36" t="s">
        <v>2588</v>
      </c>
      <c r="C18" s="29">
        <v>0.108</v>
      </c>
      <c r="D18" s="29">
        <v>0.02</v>
      </c>
      <c r="E18" s="29">
        <v>1.0999999999999999E-2</v>
      </c>
    </row>
    <row r="19" spans="2:5" ht="15" customHeight="1" x14ac:dyDescent="0.25">
      <c r="B19" s="36" t="s">
        <v>2589</v>
      </c>
      <c r="C19" s="29">
        <v>7.2999999999999995E-2</v>
      </c>
      <c r="D19" s="29">
        <v>4.4999999999999998E-2</v>
      </c>
      <c r="E19" s="29">
        <v>2.1000000000000001E-2</v>
      </c>
    </row>
    <row r="20" spans="2:5" ht="15" customHeight="1" x14ac:dyDescent="0.25">
      <c r="B20" s="36" t="s">
        <v>2590</v>
      </c>
      <c r="C20" s="29">
        <v>8.8999999999999996E-2</v>
      </c>
      <c r="D20" s="29">
        <v>3.9E-2</v>
      </c>
      <c r="E20" s="29">
        <v>1.7000000000000001E-2</v>
      </c>
    </row>
    <row r="21" spans="2:5" ht="15" customHeight="1" x14ac:dyDescent="0.25">
      <c r="B21" s="36" t="s">
        <v>2591</v>
      </c>
      <c r="C21" s="29">
        <v>0.125</v>
      </c>
      <c r="D21" s="29">
        <v>4.7E-2</v>
      </c>
      <c r="E21" s="29">
        <v>4.1000000000000002E-2</v>
      </c>
    </row>
    <row r="22" spans="2:5" ht="15" customHeight="1" x14ac:dyDescent="0.25">
      <c r="B22" s="38" t="s">
        <v>2592</v>
      </c>
      <c r="C22" s="29" t="s">
        <v>2582</v>
      </c>
      <c r="D22" s="29" t="s">
        <v>2582</v>
      </c>
      <c r="E22" s="29" t="s">
        <v>2582</v>
      </c>
    </row>
    <row r="23" spans="2:5" ht="15" customHeight="1" x14ac:dyDescent="0.25">
      <c r="B23" s="36" t="s">
        <v>2593</v>
      </c>
      <c r="C23" s="29">
        <v>0.32800000000000001</v>
      </c>
      <c r="D23" s="29">
        <v>0.32</v>
      </c>
      <c r="E23" s="29">
        <v>0.32</v>
      </c>
    </row>
    <row r="24" spans="2:5" ht="15" customHeight="1" x14ac:dyDescent="0.25">
      <c r="B24" s="36" t="s">
        <v>2594</v>
      </c>
      <c r="C24" s="29" t="s">
        <v>2582</v>
      </c>
      <c r="D24" s="29" t="s">
        <v>2582</v>
      </c>
      <c r="E24" s="29" t="s">
        <v>2582</v>
      </c>
    </row>
    <row r="25" spans="2:5" ht="15" customHeight="1" x14ac:dyDescent="0.25">
      <c r="B25" s="39"/>
      <c r="C25" s="40"/>
      <c r="D25" s="40"/>
      <c r="E25" s="40"/>
    </row>
    <row r="26" spans="2:5" ht="15" customHeight="1" x14ac:dyDescent="0.25">
      <c r="B26" s="31" t="s">
        <v>54</v>
      </c>
      <c r="C26" s="31"/>
      <c r="D26" s="31"/>
      <c r="E26" s="31"/>
    </row>
    <row r="27" spans="2:5" ht="15" customHeight="1" x14ac:dyDescent="0.25">
      <c r="B27" s="32" t="s">
        <v>53</v>
      </c>
      <c r="C27" s="31"/>
      <c r="D27" s="31"/>
      <c r="E27" s="31"/>
    </row>
    <row r="28" spans="2:5" ht="15" customHeight="1" x14ac:dyDescent="0.25">
      <c r="B28" s="31" t="s">
        <v>34</v>
      </c>
      <c r="C28" s="20"/>
      <c r="D28" s="20"/>
      <c r="E28" s="20"/>
    </row>
  </sheetData>
  <mergeCells count="2">
    <mergeCell ref="B6:B7"/>
    <mergeCell ref="C6:E6"/>
  </mergeCells>
  <pageMargins left="0.7" right="0.7" top="0.75" bottom="0.75" header="0.3" footer="0.3"/>
  <pageSetup paperSize="9" scale="7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  <pageSetUpPr fitToPage="1"/>
  </sheetPr>
  <dimension ref="B1:E19"/>
  <sheetViews>
    <sheetView showGridLines="0" workbookViewId="0"/>
  </sheetViews>
  <sheetFormatPr defaultRowHeight="15" customHeight="1" x14ac:dyDescent="0.25"/>
  <cols>
    <col min="1" max="1" width="2.7109375" customWidth="1"/>
    <col min="2" max="2" width="31.140625" customWidth="1"/>
    <col min="3" max="3" width="11" customWidth="1"/>
    <col min="4" max="4" width="12.42578125" customWidth="1"/>
    <col min="5" max="5" width="13.42578125" customWidth="1"/>
  </cols>
  <sheetData>
    <row r="1" spans="2:5" ht="20.100000000000001" customHeight="1" x14ac:dyDescent="0.25"/>
    <row r="2" spans="2:5" ht="20.100000000000001" customHeight="1" x14ac:dyDescent="0.3">
      <c r="B2" s="30" t="s">
        <v>55</v>
      </c>
      <c r="C2" s="20"/>
      <c r="D2" s="20"/>
      <c r="E2" s="20"/>
    </row>
    <row r="3" spans="2:5" ht="20.100000000000001" customHeight="1" x14ac:dyDescent="0.25">
      <c r="B3" s="3"/>
      <c r="C3" s="20"/>
      <c r="D3" s="20"/>
      <c r="E3" s="20"/>
    </row>
    <row r="4" spans="2:5" ht="20.100000000000001" customHeight="1" x14ac:dyDescent="0.25">
      <c r="B4" s="4" t="s">
        <v>37</v>
      </c>
      <c r="C4" s="20"/>
      <c r="D4" s="20"/>
      <c r="E4" s="20"/>
    </row>
    <row r="5" spans="2:5" ht="20.100000000000001" customHeight="1" x14ac:dyDescent="0.25">
      <c r="B5" s="20"/>
      <c r="C5" s="20"/>
      <c r="D5" s="20"/>
      <c r="E5" s="20"/>
    </row>
    <row r="6" spans="2:5" x14ac:dyDescent="0.25">
      <c r="B6" s="61" t="s">
        <v>29</v>
      </c>
      <c r="C6" s="66" t="s">
        <v>25</v>
      </c>
      <c r="D6" s="66"/>
      <c r="E6" s="66"/>
    </row>
    <row r="7" spans="2:5" ht="36" customHeight="1" x14ac:dyDescent="0.25">
      <c r="B7" s="62"/>
      <c r="C7" s="43" t="s">
        <v>30</v>
      </c>
      <c r="D7" s="43" t="s">
        <v>27</v>
      </c>
      <c r="E7" s="43" t="s">
        <v>28</v>
      </c>
    </row>
    <row r="8" spans="2:5" ht="15" customHeight="1" x14ac:dyDescent="0.25">
      <c r="B8" s="58" t="s">
        <v>2566</v>
      </c>
      <c r="C8" s="59">
        <v>1</v>
      </c>
      <c r="D8" s="60">
        <v>0.39400000000000002</v>
      </c>
      <c r="E8" s="60">
        <v>0.308</v>
      </c>
    </row>
    <row r="9" spans="2:5" ht="15" customHeight="1" x14ac:dyDescent="0.25">
      <c r="B9" s="58" t="s">
        <v>2567</v>
      </c>
      <c r="C9" s="59">
        <v>1</v>
      </c>
      <c r="D9" s="60">
        <v>0.50700000000000001</v>
      </c>
      <c r="E9" s="60">
        <v>0.40899999999999997</v>
      </c>
    </row>
    <row r="10" spans="2:5" ht="15" customHeight="1" x14ac:dyDescent="0.25">
      <c r="B10" s="58" t="s">
        <v>2568</v>
      </c>
      <c r="C10" s="59">
        <v>1</v>
      </c>
      <c r="D10" s="60">
        <v>0.20899999999999999</v>
      </c>
      <c r="E10" s="60">
        <v>0.19600000000000001</v>
      </c>
    </row>
    <row r="11" spans="2:5" ht="15" customHeight="1" x14ac:dyDescent="0.25">
      <c r="B11" s="58" t="s">
        <v>2569</v>
      </c>
      <c r="C11" s="59">
        <v>1</v>
      </c>
      <c r="D11" s="60">
        <v>0.34799999999999998</v>
      </c>
      <c r="E11" s="60">
        <v>0.25800000000000001</v>
      </c>
    </row>
    <row r="12" spans="2:5" ht="15" customHeight="1" x14ac:dyDescent="0.25">
      <c r="B12" s="58" t="s">
        <v>2570</v>
      </c>
      <c r="C12" s="59">
        <v>1</v>
      </c>
      <c r="D12" s="60">
        <v>0.51400000000000001</v>
      </c>
      <c r="E12" s="60">
        <v>0.42</v>
      </c>
    </row>
    <row r="13" spans="2:5" ht="15" customHeight="1" x14ac:dyDescent="0.25">
      <c r="B13" s="58" t="s">
        <v>2571</v>
      </c>
      <c r="C13" s="59">
        <v>1</v>
      </c>
      <c r="D13" s="60">
        <v>0.28399999999999997</v>
      </c>
      <c r="E13" s="60">
        <v>0.20899999999999999</v>
      </c>
    </row>
    <row r="14" spans="2:5" ht="15" customHeight="1" x14ac:dyDescent="0.25">
      <c r="B14" s="58" t="s">
        <v>2572</v>
      </c>
      <c r="C14" s="59">
        <v>1</v>
      </c>
      <c r="D14" s="60">
        <v>0.316</v>
      </c>
      <c r="E14" s="60">
        <v>0.20499999999999999</v>
      </c>
    </row>
    <row r="15" spans="2:5" ht="15" customHeight="1" x14ac:dyDescent="0.25">
      <c r="B15" s="58" t="s">
        <v>2573</v>
      </c>
      <c r="C15" s="59">
        <v>1</v>
      </c>
      <c r="D15" s="60">
        <v>0.4</v>
      </c>
      <c r="E15" s="60">
        <v>0.33700000000000002</v>
      </c>
    </row>
    <row r="16" spans="2:5" ht="15" customHeight="1" x14ac:dyDescent="0.25">
      <c r="B16" s="58" t="s">
        <v>2574</v>
      </c>
      <c r="C16" s="59">
        <v>1</v>
      </c>
      <c r="D16" s="60">
        <v>0.38600000000000001</v>
      </c>
      <c r="E16" s="60">
        <v>0.33300000000000002</v>
      </c>
    </row>
    <row r="17" spans="2:5" ht="15" customHeight="1" x14ac:dyDescent="0.25">
      <c r="B17" s="58" t="s">
        <v>2575</v>
      </c>
      <c r="C17" s="59">
        <v>1</v>
      </c>
      <c r="D17" s="60">
        <v>0.45700000000000002</v>
      </c>
      <c r="E17" s="60">
        <v>0.38900000000000001</v>
      </c>
    </row>
    <row r="18" spans="2:5" ht="15" customHeight="1" x14ac:dyDescent="0.25">
      <c r="B18" s="58" t="s">
        <v>2576</v>
      </c>
      <c r="C18" s="59">
        <v>1</v>
      </c>
      <c r="D18" s="60">
        <v>0.40600000000000003</v>
      </c>
      <c r="E18" s="60">
        <v>0.29899999999999999</v>
      </c>
    </row>
    <row r="19" spans="2:5" ht="15" customHeight="1" x14ac:dyDescent="0.25">
      <c r="B19" s="58" t="s">
        <v>2577</v>
      </c>
      <c r="C19" s="59">
        <v>1</v>
      </c>
      <c r="D19" s="60">
        <v>0.54400000000000004</v>
      </c>
      <c r="E19" s="60">
        <v>0.40200000000000002</v>
      </c>
    </row>
  </sheetData>
  <mergeCells count="2">
    <mergeCell ref="B6:B7"/>
    <mergeCell ref="C6:E6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Admitted Acute</vt:lpstr>
      <vt:lpstr>Admitted Subacute</vt:lpstr>
      <vt:lpstr>Admitted Mental Health</vt:lpstr>
      <vt:lpstr>Community Mental Health</vt:lpstr>
      <vt:lpstr>Non-Admitted</vt:lpstr>
      <vt:lpstr>Emergency - AECC</vt:lpstr>
      <vt:lpstr>Emergency - UDG</vt:lpstr>
      <vt:lpstr>Hospital Acquired Complications</vt:lpstr>
      <vt:lpstr>Avoidable Hospital Readmissions</vt:lpstr>
    </vt:vector>
  </TitlesOfParts>
  <Company>Independent Hospital Pricing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Hughes</dc:creator>
  <cp:lastModifiedBy>James Downie</cp:lastModifiedBy>
  <cp:lastPrinted>2025-03-17T22:16:18Z</cp:lastPrinted>
  <dcterms:created xsi:type="dcterms:W3CDTF">2023-03-03T05:52:50Z</dcterms:created>
  <dcterms:modified xsi:type="dcterms:W3CDTF">2026-05-07T00:16:53Z</dcterms:modified>
</cp:coreProperties>
</file>